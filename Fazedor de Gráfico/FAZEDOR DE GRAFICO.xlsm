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20909578-2359-4B34-962D-C6025F1E523F}" xr6:coauthVersionLast="47" xr6:coauthVersionMax="47" xr10:uidLastSave="{00000000-0000-0000-0000-000000000000}"/>
  <bookViews>
    <workbookView xWindow="23880" yWindow="-30" windowWidth="24240" windowHeight="13140" activeTab="2" xr2:uid="{00000000-000D-0000-FFFF-FFFF00000000}"/>
  </bookViews>
  <sheets>
    <sheet name="Q1 - 20" sheetId="2" r:id="rId1"/>
    <sheet name="Q11 - 20" sheetId="5" r:id="rId2"/>
    <sheet name="Q21 - 25" sheetId="3" r:id="rId3"/>
    <sheet name="Q16 - 25" sheetId="6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" i="3" l="1"/>
  <c r="AE2" i="3" s="1"/>
  <c r="AD4" i="3"/>
  <c r="AE4" i="3" s="1"/>
  <c r="AD5" i="3"/>
  <c r="AE5" i="3" s="1"/>
  <c r="AD6" i="3"/>
  <c r="AE6" i="3"/>
  <c r="AD3" i="3"/>
  <c r="AE3" i="3" s="1"/>
  <c r="E3" i="6"/>
  <c r="E4" i="6"/>
  <c r="E5" i="6"/>
  <c r="E6" i="6"/>
  <c r="E7" i="6"/>
  <c r="E8" i="6"/>
  <c r="E9" i="6"/>
  <c r="E10" i="6"/>
  <c r="E11" i="6"/>
  <c r="I3" i="6"/>
  <c r="I4" i="6"/>
  <c r="I5" i="6"/>
  <c r="I6" i="6"/>
  <c r="I7" i="6"/>
  <c r="I8" i="6"/>
  <c r="I9" i="6"/>
  <c r="I10" i="6"/>
  <c r="I11" i="6"/>
  <c r="M3" i="6"/>
  <c r="M4" i="6"/>
  <c r="M5" i="6"/>
  <c r="M6" i="6"/>
  <c r="M7" i="6"/>
  <c r="M8" i="6"/>
  <c r="M9" i="6"/>
  <c r="M10" i="6"/>
  <c r="M11" i="6"/>
  <c r="Q3" i="6"/>
  <c r="Q4" i="6"/>
  <c r="Q5" i="6"/>
  <c r="Q6" i="6"/>
  <c r="Q7" i="6"/>
  <c r="Q8" i="6"/>
  <c r="Q9" i="6"/>
  <c r="Q10" i="6"/>
  <c r="Q11" i="6"/>
  <c r="U3" i="6"/>
  <c r="U4" i="6"/>
  <c r="U5" i="6"/>
  <c r="U6" i="6"/>
  <c r="U7" i="6"/>
  <c r="U8" i="6"/>
  <c r="U9" i="6"/>
  <c r="U10" i="6"/>
  <c r="U11" i="6"/>
  <c r="Y3" i="6"/>
  <c r="Y4" i="6"/>
  <c r="Y5" i="6"/>
  <c r="Y6" i="6"/>
  <c r="Y7" i="6"/>
  <c r="Y8" i="6"/>
  <c r="Y9" i="6"/>
  <c r="Y10" i="6"/>
  <c r="Y11" i="6"/>
  <c r="AC3" i="6"/>
  <c r="AC4" i="6"/>
  <c r="AC5" i="6"/>
  <c r="AC6" i="6"/>
  <c r="AC7" i="6"/>
  <c r="AC8" i="6"/>
  <c r="AC9" i="6"/>
  <c r="AC10" i="6"/>
  <c r="AC11" i="6"/>
  <c r="AG3" i="6"/>
  <c r="AG4" i="6"/>
  <c r="AG5" i="6"/>
  <c r="AG6" i="6"/>
  <c r="AG7" i="6"/>
  <c r="AG8" i="6"/>
  <c r="AG9" i="6"/>
  <c r="AG10" i="6"/>
  <c r="AG11" i="6"/>
  <c r="AK3" i="6"/>
  <c r="AK4" i="6"/>
  <c r="AK5" i="6"/>
  <c r="AK6" i="6"/>
  <c r="AK7" i="6"/>
  <c r="AK8" i="6"/>
  <c r="AK9" i="6"/>
  <c r="AK10" i="6"/>
  <c r="AK11" i="6"/>
  <c r="AO3" i="6"/>
  <c r="AO4" i="6"/>
  <c r="AO5" i="6"/>
  <c r="AO6" i="6"/>
  <c r="AO7" i="6"/>
  <c r="AO8" i="6"/>
  <c r="AO9" i="6"/>
  <c r="AO10" i="6"/>
  <c r="AO11" i="6"/>
  <c r="AO2" i="6"/>
  <c r="AK2" i="6"/>
  <c r="AG2" i="6"/>
  <c r="AC2" i="6"/>
  <c r="Y2" i="6"/>
  <c r="U2" i="6"/>
  <c r="Q2" i="6"/>
  <c r="M2" i="6"/>
  <c r="I2" i="6"/>
  <c r="E2" i="6"/>
  <c r="A3" i="6"/>
  <c r="A4" i="6"/>
  <c r="A5" i="6"/>
  <c r="A6" i="6"/>
  <c r="A7" i="6"/>
  <c r="A8" i="6"/>
  <c r="A9" i="6"/>
  <c r="A10" i="6"/>
  <c r="A11" i="6"/>
  <c r="A2" i="6"/>
  <c r="A72" i="6"/>
  <c r="A71" i="6"/>
  <c r="A70" i="6"/>
  <c r="A69" i="6"/>
  <c r="A68" i="6"/>
  <c r="AP11" i="6"/>
  <c r="AQ11" i="6" s="1"/>
  <c r="AL11" i="6"/>
  <c r="AM11" i="6" s="1"/>
  <c r="AH11" i="6"/>
  <c r="AI11" i="6" s="1"/>
  <c r="AD11" i="6"/>
  <c r="AE11" i="6" s="1"/>
  <c r="Z11" i="6"/>
  <c r="AA11" i="6" s="1"/>
  <c r="V11" i="6"/>
  <c r="W11" i="6" s="1"/>
  <c r="R11" i="6"/>
  <c r="S11" i="6" s="1"/>
  <c r="N11" i="6"/>
  <c r="O11" i="6" s="1"/>
  <c r="J11" i="6"/>
  <c r="K11" i="6" s="1"/>
  <c r="F11" i="6"/>
  <c r="G11" i="6" s="1"/>
  <c r="B11" i="6"/>
  <c r="C11" i="6" s="1"/>
  <c r="AP10" i="6"/>
  <c r="AQ10" i="6" s="1"/>
  <c r="AL10" i="6"/>
  <c r="AM10" i="6" s="1"/>
  <c r="AH10" i="6"/>
  <c r="AI10" i="6" s="1"/>
  <c r="AD10" i="6"/>
  <c r="AE10" i="6" s="1"/>
  <c r="Z10" i="6"/>
  <c r="AA10" i="6" s="1"/>
  <c r="V10" i="6"/>
  <c r="W10" i="6" s="1"/>
  <c r="R10" i="6"/>
  <c r="S10" i="6" s="1"/>
  <c r="N10" i="6"/>
  <c r="O10" i="6" s="1"/>
  <c r="J10" i="6"/>
  <c r="K10" i="6" s="1"/>
  <c r="F10" i="6"/>
  <c r="G10" i="6" s="1"/>
  <c r="B10" i="6"/>
  <c r="C10" i="6" s="1"/>
  <c r="AP9" i="6"/>
  <c r="AQ9" i="6" s="1"/>
  <c r="AL9" i="6"/>
  <c r="AM9" i="6" s="1"/>
  <c r="AH9" i="6"/>
  <c r="AI9" i="6" s="1"/>
  <c r="AD9" i="6"/>
  <c r="AE9" i="6" s="1"/>
  <c r="Z9" i="6"/>
  <c r="AA9" i="6" s="1"/>
  <c r="V9" i="6"/>
  <c r="W9" i="6" s="1"/>
  <c r="R9" i="6"/>
  <c r="S9" i="6" s="1"/>
  <c r="N9" i="6"/>
  <c r="O9" i="6" s="1"/>
  <c r="J9" i="6"/>
  <c r="K9" i="6" s="1"/>
  <c r="F9" i="6"/>
  <c r="G9" i="6" s="1"/>
  <c r="B9" i="6"/>
  <c r="C9" i="6" s="1"/>
  <c r="AQ8" i="6"/>
  <c r="AP8" i="6"/>
  <c r="AL8" i="6"/>
  <c r="AM8" i="6" s="1"/>
  <c r="AH8" i="6"/>
  <c r="AI8" i="6" s="1"/>
  <c r="AD8" i="6"/>
  <c r="AE8" i="6" s="1"/>
  <c r="Z8" i="6"/>
  <c r="AA8" i="6" s="1"/>
  <c r="V8" i="6"/>
  <c r="W8" i="6" s="1"/>
  <c r="R8" i="6"/>
  <c r="S8" i="6" s="1"/>
  <c r="N8" i="6"/>
  <c r="O8" i="6" s="1"/>
  <c r="J8" i="6"/>
  <c r="K8" i="6" s="1"/>
  <c r="F8" i="6"/>
  <c r="G8" i="6" s="1"/>
  <c r="B8" i="6"/>
  <c r="C8" i="6" s="1"/>
  <c r="AP7" i="6"/>
  <c r="AQ7" i="6" s="1"/>
  <c r="AL7" i="6"/>
  <c r="AM7" i="6" s="1"/>
  <c r="AH7" i="6"/>
  <c r="AI7" i="6" s="1"/>
  <c r="AD7" i="6"/>
  <c r="AE7" i="6" s="1"/>
  <c r="Z7" i="6"/>
  <c r="AA7" i="6" s="1"/>
  <c r="W7" i="6"/>
  <c r="V7" i="6"/>
  <c r="R7" i="6"/>
  <c r="S7" i="6" s="1"/>
  <c r="N7" i="6"/>
  <c r="O7" i="6" s="1"/>
  <c r="J7" i="6"/>
  <c r="K7" i="6" s="1"/>
  <c r="F7" i="6"/>
  <c r="G7" i="6" s="1"/>
  <c r="B7" i="6"/>
  <c r="C7" i="6" s="1"/>
  <c r="AP6" i="6"/>
  <c r="AQ6" i="6" s="1"/>
  <c r="AL6" i="6"/>
  <c r="AM6" i="6" s="1"/>
  <c r="AH6" i="6"/>
  <c r="AI6" i="6" s="1"/>
  <c r="AD6" i="6"/>
  <c r="AE6" i="6" s="1"/>
  <c r="Z6" i="6"/>
  <c r="AA6" i="6" s="1"/>
  <c r="V6" i="6"/>
  <c r="W6" i="6" s="1"/>
  <c r="R6" i="6"/>
  <c r="S6" i="6" s="1"/>
  <c r="N6" i="6"/>
  <c r="O6" i="6" s="1"/>
  <c r="J6" i="6"/>
  <c r="K6" i="6" s="1"/>
  <c r="F6" i="6"/>
  <c r="G6" i="6" s="1"/>
  <c r="B6" i="6"/>
  <c r="C6" i="6" s="1"/>
  <c r="AP5" i="6"/>
  <c r="AQ5" i="6" s="1"/>
  <c r="AL5" i="6"/>
  <c r="AM5" i="6" s="1"/>
  <c r="AH5" i="6"/>
  <c r="AI5" i="6" s="1"/>
  <c r="AD5" i="6"/>
  <c r="AE5" i="6" s="1"/>
  <c r="Z5" i="6"/>
  <c r="AA5" i="6" s="1"/>
  <c r="V5" i="6"/>
  <c r="W5" i="6" s="1"/>
  <c r="R5" i="6"/>
  <c r="S5" i="6" s="1"/>
  <c r="N5" i="6"/>
  <c r="O5" i="6" s="1"/>
  <c r="J5" i="6"/>
  <c r="K5" i="6" s="1"/>
  <c r="F5" i="6"/>
  <c r="G5" i="6" s="1"/>
  <c r="B5" i="6"/>
  <c r="C5" i="6" s="1"/>
  <c r="AP4" i="6"/>
  <c r="AQ4" i="6" s="1"/>
  <c r="AL4" i="6"/>
  <c r="AM4" i="6" s="1"/>
  <c r="AH4" i="6"/>
  <c r="AI4" i="6" s="1"/>
  <c r="AD4" i="6"/>
  <c r="AE4" i="6" s="1"/>
  <c r="Z4" i="6"/>
  <c r="AA4" i="6" s="1"/>
  <c r="W4" i="6"/>
  <c r="V4" i="6"/>
  <c r="R4" i="6"/>
  <c r="S4" i="6" s="1"/>
  <c r="N4" i="6"/>
  <c r="O4" i="6" s="1"/>
  <c r="J4" i="6"/>
  <c r="K4" i="6" s="1"/>
  <c r="F4" i="6"/>
  <c r="G4" i="6" s="1"/>
  <c r="B4" i="6"/>
  <c r="C4" i="6" s="1"/>
  <c r="AP3" i="6"/>
  <c r="AQ3" i="6" s="1"/>
  <c r="AL3" i="6"/>
  <c r="AM3" i="6" s="1"/>
  <c r="AH3" i="6"/>
  <c r="AI3" i="6" s="1"/>
  <c r="AD3" i="6"/>
  <c r="AE3" i="6" s="1"/>
  <c r="Z3" i="6"/>
  <c r="AA3" i="6" s="1"/>
  <c r="V3" i="6"/>
  <c r="W3" i="6" s="1"/>
  <c r="S3" i="6"/>
  <c r="R3" i="6"/>
  <c r="N3" i="6"/>
  <c r="O3" i="6" s="1"/>
  <c r="J3" i="6"/>
  <c r="K3" i="6" s="1"/>
  <c r="F3" i="6"/>
  <c r="G3" i="6" s="1"/>
  <c r="B3" i="6"/>
  <c r="C3" i="6" s="1"/>
  <c r="AP2" i="6"/>
  <c r="AQ2" i="6" s="1"/>
  <c r="AL2" i="6"/>
  <c r="AM2" i="6" s="1"/>
  <c r="AH2" i="6"/>
  <c r="AI2" i="6" s="1"/>
  <c r="AE2" i="6"/>
  <c r="AD2" i="6"/>
  <c r="Z2" i="6"/>
  <c r="AA2" i="6" s="1"/>
  <c r="V2" i="6"/>
  <c r="W2" i="6" s="1"/>
  <c r="R2" i="6"/>
  <c r="S2" i="6" s="1"/>
  <c r="N2" i="6"/>
  <c r="O2" i="6" s="1"/>
  <c r="J2" i="6"/>
  <c r="K2" i="6" s="1"/>
  <c r="F2" i="6"/>
  <c r="G2" i="6" s="1"/>
  <c r="B2" i="6"/>
  <c r="C2" i="6" s="1"/>
  <c r="A2" i="3"/>
  <c r="R3" i="2"/>
  <c r="S3" i="2" s="1"/>
  <c r="R4" i="2"/>
  <c r="S4" i="2" s="1"/>
  <c r="R5" i="2"/>
  <c r="S5" i="2" s="1"/>
  <c r="R6" i="2"/>
  <c r="S6" i="2" s="1"/>
  <c r="R7" i="2"/>
  <c r="S7" i="2" s="1"/>
  <c r="R8" i="2"/>
  <c r="S8" i="2" s="1"/>
  <c r="R9" i="2"/>
  <c r="S9" i="2" s="1"/>
  <c r="R10" i="2"/>
  <c r="S10" i="2" s="1"/>
  <c r="R11" i="2"/>
  <c r="S11" i="2" s="1"/>
  <c r="R12" i="2"/>
  <c r="S12" i="2" s="1"/>
  <c r="R13" i="2"/>
  <c r="S13" i="2" s="1"/>
  <c r="R14" i="2"/>
  <c r="S14" i="2" s="1"/>
  <c r="R15" i="2"/>
  <c r="S15" i="2" s="1"/>
  <c r="R16" i="2"/>
  <c r="S16" i="2" s="1"/>
  <c r="R17" i="2"/>
  <c r="S17" i="2" s="1"/>
  <c r="R18" i="2"/>
  <c r="S18" i="2" s="1"/>
  <c r="R19" i="2"/>
  <c r="S19" i="2" s="1"/>
  <c r="R20" i="2"/>
  <c r="S20" i="2" s="1"/>
  <c r="R21" i="2"/>
  <c r="S21" i="2" s="1"/>
  <c r="R2" i="2"/>
  <c r="N3" i="2"/>
  <c r="O3" i="2" s="1"/>
  <c r="N4" i="2"/>
  <c r="O4" i="2" s="1"/>
  <c r="N5" i="2"/>
  <c r="O5" i="2" s="1"/>
  <c r="N6" i="2"/>
  <c r="O6" i="2" s="1"/>
  <c r="N7" i="2"/>
  <c r="O7" i="2" s="1"/>
  <c r="N8" i="2"/>
  <c r="O8" i="2" s="1"/>
  <c r="N9" i="2"/>
  <c r="O9" i="2" s="1"/>
  <c r="N10" i="2"/>
  <c r="O10" i="2" s="1"/>
  <c r="N11" i="2"/>
  <c r="O11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" i="2"/>
  <c r="O2" i="2" s="1"/>
  <c r="J3" i="2"/>
  <c r="K3" i="2" s="1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" i="2"/>
  <c r="K2" i="2" s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" i="2"/>
  <c r="G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" i="2"/>
  <c r="A72" i="5"/>
  <c r="A71" i="5"/>
  <c r="A70" i="5"/>
  <c r="A69" i="5"/>
  <c r="A68" i="5"/>
  <c r="A67" i="5"/>
  <c r="A66" i="5"/>
  <c r="A65" i="5"/>
  <c r="A64" i="5"/>
  <c r="A63" i="5"/>
  <c r="Q12" i="5" s="1"/>
  <c r="AO12" i="5"/>
  <c r="AK12" i="5"/>
  <c r="AG12" i="5"/>
  <c r="AC12" i="5"/>
  <c r="Y12" i="5"/>
  <c r="U12" i="5"/>
  <c r="M12" i="5"/>
  <c r="I12" i="5"/>
  <c r="E12" i="5"/>
  <c r="A12" i="5"/>
  <c r="AP11" i="5"/>
  <c r="AQ11" i="5" s="1"/>
  <c r="AO11" i="5"/>
  <c r="AL11" i="5"/>
  <c r="AM11" i="5" s="1"/>
  <c r="AK11" i="5"/>
  <c r="AH11" i="5"/>
  <c r="AI11" i="5" s="1"/>
  <c r="AG11" i="5"/>
  <c r="AD11" i="5"/>
  <c r="AE11" i="5" s="1"/>
  <c r="AC11" i="5"/>
  <c r="Z11" i="5"/>
  <c r="AA11" i="5" s="1"/>
  <c r="Y11" i="5"/>
  <c r="V11" i="5"/>
  <c r="W11" i="5" s="1"/>
  <c r="U11" i="5"/>
  <c r="R11" i="5"/>
  <c r="S11" i="5" s="1"/>
  <c r="Q11" i="5"/>
  <c r="N11" i="5"/>
  <c r="O11" i="5" s="1"/>
  <c r="M11" i="5"/>
  <c r="J11" i="5"/>
  <c r="K11" i="5" s="1"/>
  <c r="I11" i="5"/>
  <c r="F11" i="5"/>
  <c r="G11" i="5" s="1"/>
  <c r="E11" i="5"/>
  <c r="B11" i="5"/>
  <c r="C11" i="5" s="1"/>
  <c r="A11" i="5"/>
  <c r="AP10" i="5"/>
  <c r="AQ10" i="5" s="1"/>
  <c r="AO10" i="5"/>
  <c r="AL10" i="5"/>
  <c r="AM10" i="5" s="1"/>
  <c r="AK10" i="5"/>
  <c r="AH10" i="5"/>
  <c r="AI10" i="5" s="1"/>
  <c r="AG10" i="5"/>
  <c r="AD10" i="5"/>
  <c r="AE10" i="5" s="1"/>
  <c r="AC10" i="5"/>
  <c r="Z10" i="5"/>
  <c r="AA10" i="5" s="1"/>
  <c r="Y10" i="5"/>
  <c r="V10" i="5"/>
  <c r="W10" i="5" s="1"/>
  <c r="U10" i="5"/>
  <c r="R10" i="5"/>
  <c r="S10" i="5" s="1"/>
  <c r="Q10" i="5"/>
  <c r="N10" i="5"/>
  <c r="O10" i="5" s="1"/>
  <c r="M10" i="5"/>
  <c r="J10" i="5"/>
  <c r="K10" i="5" s="1"/>
  <c r="I10" i="5"/>
  <c r="F10" i="5"/>
  <c r="G10" i="5" s="1"/>
  <c r="E10" i="5"/>
  <c r="B10" i="5"/>
  <c r="C10" i="5" s="1"/>
  <c r="A10" i="5"/>
  <c r="AP9" i="5"/>
  <c r="AQ9" i="5" s="1"/>
  <c r="AO9" i="5"/>
  <c r="AL9" i="5"/>
  <c r="AM9" i="5" s="1"/>
  <c r="AK9" i="5"/>
  <c r="AH9" i="5"/>
  <c r="AI9" i="5" s="1"/>
  <c r="AG9" i="5"/>
  <c r="AD9" i="5"/>
  <c r="AE9" i="5" s="1"/>
  <c r="AC9" i="5"/>
  <c r="Z9" i="5"/>
  <c r="AA9" i="5" s="1"/>
  <c r="Y9" i="5"/>
  <c r="V9" i="5"/>
  <c r="W9" i="5" s="1"/>
  <c r="U9" i="5"/>
  <c r="R9" i="5"/>
  <c r="S9" i="5" s="1"/>
  <c r="Q9" i="5"/>
  <c r="N9" i="5"/>
  <c r="O9" i="5" s="1"/>
  <c r="M9" i="5"/>
  <c r="J9" i="5"/>
  <c r="K9" i="5" s="1"/>
  <c r="I9" i="5"/>
  <c r="F9" i="5"/>
  <c r="G9" i="5" s="1"/>
  <c r="E9" i="5"/>
  <c r="B9" i="5"/>
  <c r="C9" i="5" s="1"/>
  <c r="A9" i="5"/>
  <c r="AP8" i="5"/>
  <c r="AQ8" i="5" s="1"/>
  <c r="AO8" i="5"/>
  <c r="AL8" i="5"/>
  <c r="AM8" i="5" s="1"/>
  <c r="AK8" i="5"/>
  <c r="AH8" i="5"/>
  <c r="AI8" i="5" s="1"/>
  <c r="AG8" i="5"/>
  <c r="AD8" i="5"/>
  <c r="AE8" i="5" s="1"/>
  <c r="AC8" i="5"/>
  <c r="Z8" i="5"/>
  <c r="AA8" i="5" s="1"/>
  <c r="Y8" i="5"/>
  <c r="V8" i="5"/>
  <c r="W8" i="5" s="1"/>
  <c r="U8" i="5"/>
  <c r="R8" i="5"/>
  <c r="S8" i="5" s="1"/>
  <c r="Q8" i="5"/>
  <c r="N8" i="5"/>
  <c r="O8" i="5" s="1"/>
  <c r="M8" i="5"/>
  <c r="J8" i="5"/>
  <c r="K8" i="5" s="1"/>
  <c r="I8" i="5"/>
  <c r="F8" i="5"/>
  <c r="G8" i="5" s="1"/>
  <c r="E8" i="5"/>
  <c r="B8" i="5"/>
  <c r="C8" i="5" s="1"/>
  <c r="A8" i="5"/>
  <c r="AP7" i="5"/>
  <c r="AQ7" i="5" s="1"/>
  <c r="AO7" i="5"/>
  <c r="AL7" i="5"/>
  <c r="AM7" i="5" s="1"/>
  <c r="AK7" i="5"/>
  <c r="AH7" i="5"/>
  <c r="AI7" i="5" s="1"/>
  <c r="AG7" i="5"/>
  <c r="AD7" i="5"/>
  <c r="AE7" i="5" s="1"/>
  <c r="AC7" i="5"/>
  <c r="Z7" i="5"/>
  <c r="AA7" i="5" s="1"/>
  <c r="Y7" i="5"/>
  <c r="V7" i="5"/>
  <c r="W7" i="5" s="1"/>
  <c r="U7" i="5"/>
  <c r="R7" i="5"/>
  <c r="S7" i="5" s="1"/>
  <c r="Q7" i="5"/>
  <c r="N7" i="5"/>
  <c r="O7" i="5" s="1"/>
  <c r="M7" i="5"/>
  <c r="J7" i="5"/>
  <c r="K7" i="5" s="1"/>
  <c r="I7" i="5"/>
  <c r="F7" i="5"/>
  <c r="G7" i="5" s="1"/>
  <c r="E7" i="5"/>
  <c r="B7" i="5"/>
  <c r="C7" i="5" s="1"/>
  <c r="A7" i="5"/>
  <c r="AP6" i="5"/>
  <c r="AQ6" i="5" s="1"/>
  <c r="AO6" i="5"/>
  <c r="AL6" i="5"/>
  <c r="AM6" i="5" s="1"/>
  <c r="AK6" i="5"/>
  <c r="AH6" i="5"/>
  <c r="AI6" i="5" s="1"/>
  <c r="AG6" i="5"/>
  <c r="AD6" i="5"/>
  <c r="AE6" i="5" s="1"/>
  <c r="AC6" i="5"/>
  <c r="Z6" i="5"/>
  <c r="AA6" i="5" s="1"/>
  <c r="Y6" i="5"/>
  <c r="V6" i="5"/>
  <c r="W6" i="5" s="1"/>
  <c r="U6" i="5"/>
  <c r="R6" i="5"/>
  <c r="S6" i="5" s="1"/>
  <c r="Q6" i="5"/>
  <c r="N6" i="5"/>
  <c r="O6" i="5" s="1"/>
  <c r="M6" i="5"/>
  <c r="J6" i="5"/>
  <c r="K6" i="5" s="1"/>
  <c r="I6" i="5"/>
  <c r="F6" i="5"/>
  <c r="G6" i="5" s="1"/>
  <c r="E6" i="5"/>
  <c r="B6" i="5"/>
  <c r="C6" i="5" s="1"/>
  <c r="A6" i="5"/>
  <c r="AP5" i="5"/>
  <c r="AQ5" i="5" s="1"/>
  <c r="AO5" i="5"/>
  <c r="AL5" i="5"/>
  <c r="AM5" i="5" s="1"/>
  <c r="AK5" i="5"/>
  <c r="AH5" i="5"/>
  <c r="AI5" i="5" s="1"/>
  <c r="AG5" i="5"/>
  <c r="AD5" i="5"/>
  <c r="AE5" i="5" s="1"/>
  <c r="AC5" i="5"/>
  <c r="Z5" i="5"/>
  <c r="AA5" i="5" s="1"/>
  <c r="Y5" i="5"/>
  <c r="V5" i="5"/>
  <c r="W5" i="5" s="1"/>
  <c r="U5" i="5"/>
  <c r="R5" i="5"/>
  <c r="S5" i="5" s="1"/>
  <c r="Q5" i="5"/>
  <c r="N5" i="5"/>
  <c r="O5" i="5" s="1"/>
  <c r="M5" i="5"/>
  <c r="J5" i="5"/>
  <c r="K5" i="5" s="1"/>
  <c r="I5" i="5"/>
  <c r="F5" i="5"/>
  <c r="G5" i="5" s="1"/>
  <c r="E5" i="5"/>
  <c r="B5" i="5"/>
  <c r="C5" i="5" s="1"/>
  <c r="A5" i="5"/>
  <c r="AP4" i="5"/>
  <c r="AQ4" i="5" s="1"/>
  <c r="AO4" i="5"/>
  <c r="AL4" i="5"/>
  <c r="AM4" i="5" s="1"/>
  <c r="AK4" i="5"/>
  <c r="AH4" i="5"/>
  <c r="AI4" i="5" s="1"/>
  <c r="AG4" i="5"/>
  <c r="AD4" i="5"/>
  <c r="AE4" i="5" s="1"/>
  <c r="AC4" i="5"/>
  <c r="Z4" i="5"/>
  <c r="AA4" i="5" s="1"/>
  <c r="Y4" i="5"/>
  <c r="V4" i="5"/>
  <c r="W4" i="5" s="1"/>
  <c r="U4" i="5"/>
  <c r="R4" i="5"/>
  <c r="S4" i="5" s="1"/>
  <c r="Q4" i="5"/>
  <c r="N4" i="5"/>
  <c r="O4" i="5" s="1"/>
  <c r="M4" i="5"/>
  <c r="J4" i="5"/>
  <c r="K4" i="5" s="1"/>
  <c r="I4" i="5"/>
  <c r="F4" i="5"/>
  <c r="G4" i="5" s="1"/>
  <c r="E4" i="5"/>
  <c r="B4" i="5"/>
  <c r="C4" i="5" s="1"/>
  <c r="A4" i="5"/>
  <c r="AP3" i="5"/>
  <c r="AQ3" i="5" s="1"/>
  <c r="AO3" i="5"/>
  <c r="AL3" i="5"/>
  <c r="AM3" i="5" s="1"/>
  <c r="AK3" i="5"/>
  <c r="AH3" i="5"/>
  <c r="AI3" i="5" s="1"/>
  <c r="AG3" i="5"/>
  <c r="AD3" i="5"/>
  <c r="AE3" i="5" s="1"/>
  <c r="AC3" i="5"/>
  <c r="Z3" i="5"/>
  <c r="AA3" i="5" s="1"/>
  <c r="Y3" i="5"/>
  <c r="V3" i="5"/>
  <c r="W3" i="5" s="1"/>
  <c r="U3" i="5"/>
  <c r="R3" i="5"/>
  <c r="S3" i="5" s="1"/>
  <c r="Q3" i="5"/>
  <c r="N3" i="5"/>
  <c r="O3" i="5" s="1"/>
  <c r="M3" i="5"/>
  <c r="J3" i="5"/>
  <c r="K3" i="5" s="1"/>
  <c r="I3" i="5"/>
  <c r="F3" i="5"/>
  <c r="G3" i="5" s="1"/>
  <c r="E3" i="5"/>
  <c r="B3" i="5"/>
  <c r="C3" i="5" s="1"/>
  <c r="A3" i="5"/>
  <c r="AP2" i="5"/>
  <c r="AQ2" i="5" s="1"/>
  <c r="AO2" i="5"/>
  <c r="AL2" i="5"/>
  <c r="AM2" i="5" s="1"/>
  <c r="AK2" i="5"/>
  <c r="AH2" i="5"/>
  <c r="AI2" i="5" s="1"/>
  <c r="AG2" i="5"/>
  <c r="AD2" i="5"/>
  <c r="AE2" i="5" s="1"/>
  <c r="AC2" i="5"/>
  <c r="Z2" i="5"/>
  <c r="AA2" i="5" s="1"/>
  <c r="Y2" i="5"/>
  <c r="V2" i="5"/>
  <c r="W2" i="5" s="1"/>
  <c r="U2" i="5"/>
  <c r="R2" i="5"/>
  <c r="S2" i="5" s="1"/>
  <c r="Q2" i="5"/>
  <c r="N2" i="5"/>
  <c r="O2" i="5" s="1"/>
  <c r="M2" i="5"/>
  <c r="J2" i="5"/>
  <c r="K2" i="5" s="1"/>
  <c r="I2" i="5"/>
  <c r="F2" i="5"/>
  <c r="G2" i="5" s="1"/>
  <c r="E2" i="5"/>
  <c r="B2" i="5"/>
  <c r="C2" i="5" s="1"/>
  <c r="A2" i="5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AP3" i="3"/>
  <c r="AQ3" i="3" s="1"/>
  <c r="AP4" i="3"/>
  <c r="AQ4" i="3" s="1"/>
  <c r="AP5" i="3"/>
  <c r="AQ5" i="3" s="1"/>
  <c r="AP6" i="3"/>
  <c r="AQ6" i="3" s="1"/>
  <c r="AP2" i="3"/>
  <c r="AQ2" i="3" s="1"/>
  <c r="AL3" i="3"/>
  <c r="AM3" i="3" s="1"/>
  <c r="AL4" i="3"/>
  <c r="AM4" i="3" s="1"/>
  <c r="AL5" i="3"/>
  <c r="AM5" i="3" s="1"/>
  <c r="AL6" i="3"/>
  <c r="AM6" i="3" s="1"/>
  <c r="AL2" i="3"/>
  <c r="AM2" i="3" s="1"/>
  <c r="AH3" i="3"/>
  <c r="AI3" i="3" s="1"/>
  <c r="AH4" i="3"/>
  <c r="AI4" i="3" s="1"/>
  <c r="AH5" i="3"/>
  <c r="AI5" i="3" s="1"/>
  <c r="AH6" i="3"/>
  <c r="AI6" i="3" s="1"/>
  <c r="AH2" i="3"/>
  <c r="AI2" i="3" s="1"/>
  <c r="Z3" i="3"/>
  <c r="AA3" i="3" s="1"/>
  <c r="Z4" i="3"/>
  <c r="AA4" i="3" s="1"/>
  <c r="Z5" i="3"/>
  <c r="AA5" i="3" s="1"/>
  <c r="Z6" i="3"/>
  <c r="AA6" i="3" s="1"/>
  <c r="Z2" i="3"/>
  <c r="AA2" i="3" s="1"/>
  <c r="V3" i="3"/>
  <c r="W3" i="3" s="1"/>
  <c r="V4" i="3"/>
  <c r="W4" i="3" s="1"/>
  <c r="V5" i="3"/>
  <c r="W5" i="3" s="1"/>
  <c r="V6" i="3"/>
  <c r="W6" i="3" s="1"/>
  <c r="V2" i="3"/>
  <c r="W2" i="3" s="1"/>
  <c r="R3" i="3"/>
  <c r="S3" i="3" s="1"/>
  <c r="R4" i="3"/>
  <c r="S4" i="3" s="1"/>
  <c r="R5" i="3"/>
  <c r="S5" i="3" s="1"/>
  <c r="R6" i="3"/>
  <c r="S6" i="3" s="1"/>
  <c r="R2" i="3"/>
  <c r="S2" i="3" s="1"/>
  <c r="N3" i="3"/>
  <c r="O3" i="3" s="1"/>
  <c r="N4" i="3"/>
  <c r="O4" i="3" s="1"/>
  <c r="N5" i="3"/>
  <c r="O5" i="3" s="1"/>
  <c r="N6" i="3"/>
  <c r="O6" i="3" s="1"/>
  <c r="N2" i="3"/>
  <c r="O2" i="3" s="1"/>
  <c r="J3" i="3"/>
  <c r="K3" i="3" s="1"/>
  <c r="J4" i="3"/>
  <c r="K4" i="3" s="1"/>
  <c r="J5" i="3"/>
  <c r="K5" i="3" s="1"/>
  <c r="J6" i="3"/>
  <c r="K6" i="3" s="1"/>
  <c r="J2" i="3"/>
  <c r="K2" i="3" s="1"/>
  <c r="B3" i="3"/>
  <c r="C3" i="3" s="1"/>
  <c r="B4" i="3"/>
  <c r="C4" i="3" s="1"/>
  <c r="B5" i="3"/>
  <c r="C5" i="3" s="1"/>
  <c r="B6" i="3"/>
  <c r="C6" i="3" s="1"/>
  <c r="B2" i="3"/>
  <c r="C2" i="3" s="1"/>
  <c r="F3" i="3"/>
  <c r="G3" i="3" s="1"/>
  <c r="F4" i="3"/>
  <c r="G4" i="3" s="1"/>
  <c r="F5" i="3"/>
  <c r="G5" i="3" s="1"/>
  <c r="F6" i="3"/>
  <c r="G6" i="3" s="1"/>
  <c r="F2" i="3"/>
  <c r="G2" i="3" s="1"/>
  <c r="AP3" i="2"/>
  <c r="AQ3" i="2" s="1"/>
  <c r="AP4" i="2"/>
  <c r="AQ4" i="2" s="1"/>
  <c r="AP5" i="2"/>
  <c r="AQ5" i="2" s="1"/>
  <c r="AP6" i="2"/>
  <c r="AQ6" i="2" s="1"/>
  <c r="AP7" i="2"/>
  <c r="AQ7" i="2" s="1"/>
  <c r="AP8" i="2"/>
  <c r="AQ8" i="2" s="1"/>
  <c r="AP9" i="2"/>
  <c r="AQ9" i="2" s="1"/>
  <c r="AP10" i="2"/>
  <c r="AQ10" i="2" s="1"/>
  <c r="AP11" i="2"/>
  <c r="AQ11" i="2" s="1"/>
  <c r="AP12" i="2"/>
  <c r="AQ12" i="2" s="1"/>
  <c r="AP13" i="2"/>
  <c r="AQ13" i="2" s="1"/>
  <c r="AP14" i="2"/>
  <c r="AQ14" i="2" s="1"/>
  <c r="AP15" i="2"/>
  <c r="AQ15" i="2" s="1"/>
  <c r="AP16" i="2"/>
  <c r="AQ16" i="2" s="1"/>
  <c r="AP17" i="2"/>
  <c r="AQ17" i="2" s="1"/>
  <c r="AP18" i="2"/>
  <c r="AQ18" i="2" s="1"/>
  <c r="AP19" i="2"/>
  <c r="AQ19" i="2" s="1"/>
  <c r="AP20" i="2"/>
  <c r="AQ20" i="2" s="1"/>
  <c r="AP21" i="2"/>
  <c r="AQ21" i="2" s="1"/>
  <c r="AP2" i="2"/>
  <c r="AQ2" i="2" s="1"/>
  <c r="AL3" i="2"/>
  <c r="AM3" i="2" s="1"/>
  <c r="AL4" i="2"/>
  <c r="AM4" i="2" s="1"/>
  <c r="AL5" i="2"/>
  <c r="AM5" i="2" s="1"/>
  <c r="AL6" i="2"/>
  <c r="AM6" i="2" s="1"/>
  <c r="AL7" i="2"/>
  <c r="AM7" i="2" s="1"/>
  <c r="AL8" i="2"/>
  <c r="AM8" i="2" s="1"/>
  <c r="AL9" i="2"/>
  <c r="AM9" i="2" s="1"/>
  <c r="AL10" i="2"/>
  <c r="AM10" i="2" s="1"/>
  <c r="AL11" i="2"/>
  <c r="AM11" i="2" s="1"/>
  <c r="AL12" i="2"/>
  <c r="AM12" i="2" s="1"/>
  <c r="AL13" i="2"/>
  <c r="AM13" i="2" s="1"/>
  <c r="AL14" i="2"/>
  <c r="AM14" i="2" s="1"/>
  <c r="AL15" i="2"/>
  <c r="AM15" i="2" s="1"/>
  <c r="AL16" i="2"/>
  <c r="AM16" i="2" s="1"/>
  <c r="AL17" i="2"/>
  <c r="AM17" i="2" s="1"/>
  <c r="AL18" i="2"/>
  <c r="AM18" i="2" s="1"/>
  <c r="AL19" i="2"/>
  <c r="AM19" i="2" s="1"/>
  <c r="AL20" i="2"/>
  <c r="AM20" i="2" s="1"/>
  <c r="AL21" i="2"/>
  <c r="AM21" i="2" s="1"/>
  <c r="AL2" i="2"/>
  <c r="AM2" i="2" s="1"/>
  <c r="AH3" i="2"/>
  <c r="AI3" i="2" s="1"/>
  <c r="AH4" i="2"/>
  <c r="AI4" i="2" s="1"/>
  <c r="AH5" i="2"/>
  <c r="AI5" i="2" s="1"/>
  <c r="AH6" i="2"/>
  <c r="AI6" i="2" s="1"/>
  <c r="AH7" i="2"/>
  <c r="AI7" i="2" s="1"/>
  <c r="AH8" i="2"/>
  <c r="AI8" i="2" s="1"/>
  <c r="AH9" i="2"/>
  <c r="AI9" i="2" s="1"/>
  <c r="AH10" i="2"/>
  <c r="AI10" i="2" s="1"/>
  <c r="AH11" i="2"/>
  <c r="AI11" i="2" s="1"/>
  <c r="AH12" i="2"/>
  <c r="AI12" i="2" s="1"/>
  <c r="AH13" i="2"/>
  <c r="AI13" i="2" s="1"/>
  <c r="AH14" i="2"/>
  <c r="AI14" i="2" s="1"/>
  <c r="AH15" i="2"/>
  <c r="AI15" i="2" s="1"/>
  <c r="AH16" i="2"/>
  <c r="AI16" i="2" s="1"/>
  <c r="AH17" i="2"/>
  <c r="AI17" i="2" s="1"/>
  <c r="AH18" i="2"/>
  <c r="AI18" i="2" s="1"/>
  <c r="AH19" i="2"/>
  <c r="AI19" i="2" s="1"/>
  <c r="AH20" i="2"/>
  <c r="AI20" i="2" s="1"/>
  <c r="AH21" i="2"/>
  <c r="AI21" i="2" s="1"/>
  <c r="AH2" i="2"/>
  <c r="AI2" i="2" s="1"/>
  <c r="AD3" i="2"/>
  <c r="AE3" i="2" s="1"/>
  <c r="AD4" i="2"/>
  <c r="AE4" i="2" s="1"/>
  <c r="AD5" i="2"/>
  <c r="AE5" i="2" s="1"/>
  <c r="AD6" i="2"/>
  <c r="AE6" i="2" s="1"/>
  <c r="AD7" i="2"/>
  <c r="AE7" i="2" s="1"/>
  <c r="AD8" i="2"/>
  <c r="AE8" i="2" s="1"/>
  <c r="AD9" i="2"/>
  <c r="AE9" i="2" s="1"/>
  <c r="AD10" i="2"/>
  <c r="AE10" i="2" s="1"/>
  <c r="AD11" i="2"/>
  <c r="AE11" i="2" s="1"/>
  <c r="AD12" i="2"/>
  <c r="AE12" i="2" s="1"/>
  <c r="AD13" i="2"/>
  <c r="AE13" i="2" s="1"/>
  <c r="AD14" i="2"/>
  <c r="AE14" i="2" s="1"/>
  <c r="AD15" i="2"/>
  <c r="AE15" i="2" s="1"/>
  <c r="AD16" i="2"/>
  <c r="AE16" i="2" s="1"/>
  <c r="AD17" i="2"/>
  <c r="AE17" i="2" s="1"/>
  <c r="AD18" i="2"/>
  <c r="AE18" i="2" s="1"/>
  <c r="AD19" i="2"/>
  <c r="AE19" i="2" s="1"/>
  <c r="AD20" i="2"/>
  <c r="AE20" i="2" s="1"/>
  <c r="AD21" i="2"/>
  <c r="AE21" i="2" s="1"/>
  <c r="AD2" i="2"/>
  <c r="AE2" i="2" s="1"/>
  <c r="Z3" i="2"/>
  <c r="AA3" i="2" s="1"/>
  <c r="Z4" i="2"/>
  <c r="AA4" i="2" s="1"/>
  <c r="Z5" i="2"/>
  <c r="AA5" i="2" s="1"/>
  <c r="Z6" i="2"/>
  <c r="AA6" i="2" s="1"/>
  <c r="Z7" i="2"/>
  <c r="AA7" i="2" s="1"/>
  <c r="Z8" i="2"/>
  <c r="AA8" i="2" s="1"/>
  <c r="Z9" i="2"/>
  <c r="AA9" i="2" s="1"/>
  <c r="Z10" i="2"/>
  <c r="AA10" i="2" s="1"/>
  <c r="Z11" i="2"/>
  <c r="AA11" i="2" s="1"/>
  <c r="Z12" i="2"/>
  <c r="AA12" i="2" s="1"/>
  <c r="Z13" i="2"/>
  <c r="AA13" i="2" s="1"/>
  <c r="Z14" i="2"/>
  <c r="AA14" i="2" s="1"/>
  <c r="Z15" i="2"/>
  <c r="AA15" i="2" s="1"/>
  <c r="Z16" i="2"/>
  <c r="AA16" i="2" s="1"/>
  <c r="Z17" i="2"/>
  <c r="AA17" i="2" s="1"/>
  <c r="Z18" i="2"/>
  <c r="AA18" i="2" s="1"/>
  <c r="Z19" i="2"/>
  <c r="AA19" i="2" s="1"/>
  <c r="Z20" i="2"/>
  <c r="AA20" i="2" s="1"/>
  <c r="Z21" i="2"/>
  <c r="AA21" i="2" s="1"/>
  <c r="Z2" i="2"/>
  <c r="AA2" i="2" s="1"/>
  <c r="V3" i="2"/>
  <c r="W3" i="2" s="1"/>
  <c r="V4" i="2"/>
  <c r="W4" i="2" s="1"/>
  <c r="V5" i="2"/>
  <c r="W5" i="2" s="1"/>
  <c r="V6" i="2"/>
  <c r="W6" i="2" s="1"/>
  <c r="V7" i="2"/>
  <c r="W7" i="2" s="1"/>
  <c r="V8" i="2"/>
  <c r="W8" i="2" s="1"/>
  <c r="V9" i="2"/>
  <c r="W9" i="2" s="1"/>
  <c r="V10" i="2"/>
  <c r="W10" i="2" s="1"/>
  <c r="V11" i="2"/>
  <c r="W11" i="2" s="1"/>
  <c r="V12" i="2"/>
  <c r="W12" i="2" s="1"/>
  <c r="V13" i="2"/>
  <c r="W13" i="2" s="1"/>
  <c r="V14" i="2"/>
  <c r="W14" i="2" s="1"/>
  <c r="V15" i="2"/>
  <c r="W15" i="2" s="1"/>
  <c r="V16" i="2"/>
  <c r="W16" i="2" s="1"/>
  <c r="V17" i="2"/>
  <c r="W17" i="2" s="1"/>
  <c r="V18" i="2"/>
  <c r="W18" i="2" s="1"/>
  <c r="V19" i="2"/>
  <c r="W19" i="2" s="1"/>
  <c r="V20" i="2"/>
  <c r="W20" i="2" s="1"/>
  <c r="V21" i="2"/>
  <c r="W21" i="2" s="1"/>
  <c r="V2" i="2"/>
  <c r="W2" i="2" s="1"/>
  <c r="S2" i="2"/>
  <c r="AO6" i="3"/>
  <c r="AO5" i="3"/>
  <c r="AO4" i="3"/>
  <c r="AO3" i="3"/>
  <c r="AO2" i="3"/>
  <c r="AK6" i="3"/>
  <c r="AK5" i="3"/>
  <c r="AK4" i="3"/>
  <c r="AK3" i="3"/>
  <c r="AK2" i="3"/>
  <c r="AG6" i="3"/>
  <c r="AG5" i="3"/>
  <c r="AG4" i="3"/>
  <c r="AG3" i="3"/>
  <c r="AG2" i="3"/>
  <c r="AC6" i="3"/>
  <c r="AC5" i="3"/>
  <c r="AC4" i="3"/>
  <c r="AC3" i="3"/>
  <c r="AC2" i="3"/>
  <c r="Y6" i="3"/>
  <c r="Y5" i="3"/>
  <c r="Y4" i="3"/>
  <c r="Y3" i="3"/>
  <c r="Y2" i="3"/>
  <c r="U6" i="3"/>
  <c r="U5" i="3"/>
  <c r="U4" i="3"/>
  <c r="U3" i="3"/>
  <c r="U2" i="3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O2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6" i="2"/>
  <c r="AK25" i="2"/>
  <c r="AK24" i="2"/>
  <c r="AK21" i="2"/>
  <c r="AK20" i="2"/>
  <c r="AK19" i="2"/>
  <c r="AK18" i="2"/>
  <c r="AK17" i="2"/>
  <c r="AK16" i="2"/>
  <c r="AK15" i="2"/>
  <c r="AK14" i="2"/>
  <c r="AK13" i="2"/>
  <c r="AK12" i="2"/>
  <c r="AK11" i="2"/>
  <c r="AK10" i="2"/>
  <c r="AK9" i="2"/>
  <c r="AK8" i="2"/>
  <c r="AK7" i="2"/>
  <c r="AK6" i="2"/>
  <c r="AK5" i="2"/>
  <c r="AK4" i="2"/>
  <c r="AK3" i="2"/>
  <c r="AK2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AC3" i="2"/>
  <c r="AC2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U2" i="2"/>
  <c r="A36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A25" i="2"/>
  <c r="A26" i="2"/>
  <c r="A27" i="2"/>
  <c r="A28" i="2"/>
  <c r="A29" i="2"/>
  <c r="A30" i="2"/>
  <c r="A31" i="2"/>
  <c r="A32" i="2"/>
  <c r="A33" i="2"/>
  <c r="A34" i="2"/>
  <c r="A35" i="2"/>
  <c r="A37" i="2"/>
  <c r="A38" i="2"/>
  <c r="A39" i="2"/>
  <c r="A40" i="2"/>
  <c r="A41" i="2"/>
  <c r="A42" i="2"/>
  <c r="A43" i="2"/>
  <c r="A24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" i="2"/>
  <c r="Q6" i="3"/>
  <c r="Q5" i="3"/>
  <c r="Q4" i="3"/>
  <c r="Q3" i="3"/>
  <c r="Q2" i="3"/>
  <c r="M6" i="3"/>
  <c r="M5" i="3"/>
  <c r="M4" i="3"/>
  <c r="M3" i="3"/>
  <c r="M2" i="3"/>
  <c r="I6" i="3"/>
  <c r="I5" i="3"/>
  <c r="I4" i="3"/>
  <c r="I3" i="3"/>
  <c r="I2" i="3"/>
  <c r="E6" i="3"/>
  <c r="E5" i="3"/>
  <c r="E4" i="3"/>
  <c r="E3" i="3"/>
  <c r="E2" i="3"/>
  <c r="A3" i="3"/>
  <c r="A4" i="3"/>
  <c r="A5" i="3"/>
  <c r="A6" i="3"/>
  <c r="A66" i="3"/>
  <c r="A65" i="3"/>
  <c r="A64" i="3"/>
  <c r="A63" i="3"/>
  <c r="A62" i="3"/>
  <c r="A61" i="3"/>
  <c r="A60" i="3"/>
  <c r="A59" i="3"/>
  <c r="A58" i="3"/>
  <c r="A57" i="3"/>
  <c r="Q7" i="3" s="1"/>
  <c r="A81" i="2"/>
  <c r="A80" i="2"/>
  <c r="A79" i="2"/>
  <c r="A78" i="2"/>
  <c r="A77" i="2"/>
  <c r="A76" i="2"/>
  <c r="A75" i="2"/>
  <c r="A74" i="2"/>
  <c r="A73" i="2"/>
  <c r="A72" i="2"/>
  <c r="C2" i="2" l="1"/>
  <c r="Y7" i="3"/>
  <c r="U7" i="3"/>
  <c r="AG7" i="3"/>
  <c r="AC7" i="3"/>
  <c r="AO7" i="3"/>
  <c r="AK7" i="3"/>
  <c r="A7" i="3"/>
  <c r="I7" i="3"/>
  <c r="E7" i="3"/>
</calcChain>
</file>

<file path=xl/sharedStrings.xml><?xml version="1.0" encoding="utf-8"?>
<sst xmlns="http://schemas.openxmlformats.org/spreadsheetml/2006/main" count="763" uniqueCount="97">
  <si>
    <t>ACERTOS</t>
  </si>
  <si>
    <t>ERROS</t>
  </si>
  <si>
    <t>QUESTÃO 21</t>
  </si>
  <si>
    <t>QUESTÃO 22</t>
  </si>
  <si>
    <t>QUESTÃO 23</t>
  </si>
  <si>
    <t>QUESTÃO 24</t>
  </si>
  <si>
    <t>QUESTÃO 25</t>
  </si>
  <si>
    <t>QUESTÃO 16</t>
  </si>
  <si>
    <t>QUESTÃO 17</t>
  </si>
  <si>
    <t>QUESTÃO 18</t>
  </si>
  <si>
    <t>QUESTÃO 19</t>
  </si>
  <si>
    <t>QUESTÃO 20</t>
  </si>
  <si>
    <t>QUANTIDADE DE ACERTOS</t>
  </si>
  <si>
    <t>NOME DAS QUESTÕES</t>
  </si>
  <si>
    <t>QUESTÃO 1</t>
  </si>
  <si>
    <t>QUESTÃO 2</t>
  </si>
  <si>
    <t>QUESTÃO 3</t>
  </si>
  <si>
    <t>QUESTÃO 4</t>
  </si>
  <si>
    <t>QUESTÃO 5</t>
  </si>
  <si>
    <t>QUESTÃO 6</t>
  </si>
  <si>
    <t>QUESTÃO 7</t>
  </si>
  <si>
    <t>QUESTÃO 8</t>
  </si>
  <si>
    <t>QUESTÃO 9</t>
  </si>
  <si>
    <t>QUESTÃO 10</t>
  </si>
  <si>
    <t>QUESTÃO 11</t>
  </si>
  <si>
    <t>QUESTÃO 12</t>
  </si>
  <si>
    <t>QUESTÃO 13</t>
  </si>
  <si>
    <t>QUESTÃO 14</t>
  </si>
  <si>
    <t>QUESTÃO 15</t>
  </si>
  <si>
    <t>SALAS DE AULA</t>
  </si>
  <si>
    <t>6° ANO A</t>
  </si>
  <si>
    <t>6° ANO B</t>
  </si>
  <si>
    <t>6° ANO C</t>
  </si>
  <si>
    <t>6° ANO D</t>
  </si>
  <si>
    <t>6° ANO E</t>
  </si>
  <si>
    <t>6° ANO F</t>
  </si>
  <si>
    <t>6° ANO G</t>
  </si>
  <si>
    <t>6° ANO H</t>
  </si>
  <si>
    <t>6° ANO I</t>
  </si>
  <si>
    <t>6° ANO J</t>
  </si>
  <si>
    <t>6° ANO K</t>
  </si>
  <si>
    <t>7° ANO A</t>
  </si>
  <si>
    <t>7° ANO B</t>
  </si>
  <si>
    <t>7° ANO C</t>
  </si>
  <si>
    <t>7° ANO D</t>
  </si>
  <si>
    <t>8° ANO A</t>
  </si>
  <si>
    <t>9° ANO A</t>
  </si>
  <si>
    <t>7° ANO E</t>
  </si>
  <si>
    <t>7° ANO F</t>
  </si>
  <si>
    <t>7° ANO G</t>
  </si>
  <si>
    <t>7° ANO H</t>
  </si>
  <si>
    <t>7° ANO I</t>
  </si>
  <si>
    <t>7° ANO J</t>
  </si>
  <si>
    <t>7° ANO K</t>
  </si>
  <si>
    <t>8° ANO B</t>
  </si>
  <si>
    <t>8° ANO C</t>
  </si>
  <si>
    <t>8° ANO D</t>
  </si>
  <si>
    <t>8° ANO E</t>
  </si>
  <si>
    <t>8° ANO F</t>
  </si>
  <si>
    <t>8° ANO G</t>
  </si>
  <si>
    <t>8° ANO H</t>
  </si>
  <si>
    <t>8° ANO I</t>
  </si>
  <si>
    <t>8° ANO J</t>
  </si>
  <si>
    <t>8° ANO K</t>
  </si>
  <si>
    <t>9° ANO B</t>
  </si>
  <si>
    <t>9° ANO C</t>
  </si>
  <si>
    <t>9° ANO D</t>
  </si>
  <si>
    <t>9° ANO E</t>
  </si>
  <si>
    <t>9° ANO F</t>
  </si>
  <si>
    <t>9° ANO G</t>
  </si>
  <si>
    <t>9° ANO H</t>
  </si>
  <si>
    <t>9° ANO I</t>
  </si>
  <si>
    <t>9° ANO J</t>
  </si>
  <si>
    <t>9° ANO K</t>
  </si>
  <si>
    <t>QUANTIDADE DE ALUNOS</t>
  </si>
  <si>
    <t>7º ANO A</t>
  </si>
  <si>
    <t>7º ANO B</t>
  </si>
  <si>
    <t>7º ANO C</t>
  </si>
  <si>
    <t>7º ANO D</t>
  </si>
  <si>
    <t>7º ANO E</t>
  </si>
  <si>
    <t>7º ANO F</t>
  </si>
  <si>
    <t>7º ANO G</t>
  </si>
  <si>
    <t>7º ANO H</t>
  </si>
  <si>
    <t>7º ANO I</t>
  </si>
  <si>
    <t>7º ANO J</t>
  </si>
  <si>
    <t>7º ANO K</t>
  </si>
  <si>
    <t>8º ANO A</t>
  </si>
  <si>
    <t>8º ANO B</t>
  </si>
  <si>
    <t>8º ANO C</t>
  </si>
  <si>
    <t>8º ANO D</t>
  </si>
  <si>
    <t>8º ANO E</t>
  </si>
  <si>
    <t>8º ANO F</t>
  </si>
  <si>
    <t>8º ANO G</t>
  </si>
  <si>
    <t>8º ANO H</t>
  </si>
  <si>
    <t>8º ANO I</t>
  </si>
  <si>
    <t>8º ANO J</t>
  </si>
  <si>
    <t>8º ANO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</si>
</sst>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6E3FF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2" borderId="1" xfId="0" applyFont="1" applyFill="1" applyBorder="1"/>
    <xf numFmtId="0" fontId="1" fillId="3" borderId="2" xfId="0" applyFont="1" applyFill="1" applyBorder="1"/>
    <xf numFmtId="0" fontId="1" fillId="4" borderId="3" xfId="0" applyFont="1" applyFill="1" applyBorder="1"/>
    <xf numFmtId="0" fontId="0" fillId="0" borderId="4" xfId="0" applyBorder="1"/>
    <xf numFmtId="10" fontId="0" fillId="0" borderId="5" xfId="0" applyNumberFormat="1" applyBorder="1"/>
    <xf numFmtId="10" fontId="0" fillId="0" borderId="6" xfId="0" applyNumberFormat="1" applyBorder="1"/>
    <xf numFmtId="0" fontId="1" fillId="5" borderId="1" xfId="0" applyFont="1" applyFill="1" applyBorder="1"/>
    <xf numFmtId="0" fontId="1" fillId="6" borderId="1" xfId="0" applyFont="1" applyFill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0" applyNumberFormat="1"/>
    <xf numFmtId="0" fontId="0" fillId="0" borderId="18" xfId="0" applyBorder="1"/>
    <xf numFmtId="0" fontId="0" fillId="0" borderId="12" xfId="0" applyBorder="1" applyAlignment="1">
      <alignment horizontal="center"/>
    </xf>
    <xf numFmtId="0" fontId="0" fillId="0" borderId="19" xfId="0" applyBorder="1"/>
    <xf numFmtId="49" fontId="0" fillId="0" borderId="0" xfId="0" applyNumberFormat="1"/>
    <xf numFmtId="0" fontId="0" fillId="0" borderId="32" xfId="0" applyBorder="1"/>
    <xf numFmtId="10" fontId="0" fillId="0" borderId="16" xfId="0" applyNumberFormat="1" applyBorder="1"/>
    <xf numFmtId="0" fontId="0" fillId="0" borderId="22" xfId="0" applyBorder="1"/>
    <xf numFmtId="0" fontId="0" fillId="0" borderId="25" xfId="0" applyBorder="1"/>
    <xf numFmtId="49" fontId="1" fillId="2" borderId="1" xfId="0" applyNumberFormat="1" applyFont="1" applyFill="1" applyBorder="1"/>
    <xf numFmtId="49" fontId="0" fillId="0" borderId="34" xfId="0" applyNumberFormat="1" applyBorder="1"/>
    <xf numFmtId="49" fontId="0" fillId="0" borderId="18" xfId="0" applyNumberFormat="1" applyBorder="1"/>
    <xf numFmtId="49" fontId="0" fillId="0" borderId="33" xfId="0" applyNumberFormat="1" applyBorder="1"/>
    <xf numFmtId="49" fontId="0" fillId="0" borderId="7" xfId="0" applyNumberFormat="1" applyBorder="1"/>
    <xf numFmtId="0" fontId="0" fillId="0" borderId="35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26" xfId="0" applyBorder="1"/>
    <xf numFmtId="0" fontId="0" fillId="0" borderId="24" xfId="0" applyBorder="1"/>
    <xf numFmtId="0" fontId="3" fillId="0" borderId="20" xfId="0" applyFont="1" applyBorder="1"/>
    <xf numFmtId="0" fontId="0" fillId="0" borderId="12" xfId="0" applyBorder="1"/>
    <xf numFmtId="0" fontId="0" fillId="0" borderId="14" xfId="0" applyBorder="1"/>
    <xf numFmtId="0" fontId="1" fillId="0" borderId="0" xfId="0" applyFont="1" applyAlignment="1">
      <alignment vertical="center" textRotation="255"/>
    </xf>
    <xf numFmtId="49" fontId="0" fillId="0" borderId="12" xfId="0" applyNumberFormat="1" applyBorder="1"/>
    <xf numFmtId="49" fontId="0" fillId="0" borderId="14" xfId="0" applyNumberFormat="1" applyBorder="1"/>
    <xf numFmtId="0" fontId="0" fillId="0" borderId="6" xfId="0" applyBorder="1"/>
    <xf numFmtId="0" fontId="3" fillId="0" borderId="11" xfId="0" applyFont="1" applyBorder="1"/>
    <xf numFmtId="0" fontId="0" fillId="0" borderId="14" xfId="0" applyBorder="1" applyAlignment="1">
      <alignment vertical="center"/>
    </xf>
    <xf numFmtId="0" fontId="0" fillId="0" borderId="33" xfId="0" applyBorder="1"/>
    <xf numFmtId="0" fontId="0" fillId="0" borderId="37" xfId="0" applyBorder="1"/>
    <xf numFmtId="0" fontId="0" fillId="0" borderId="16" xfId="0" applyBorder="1"/>
    <xf numFmtId="0" fontId="0" fillId="0" borderId="38" xfId="0" applyBorder="1"/>
    <xf numFmtId="0" fontId="0" fillId="0" borderId="0" xfId="0" applyAlignment="1">
      <alignment vertical="center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7" xfId="0" applyBorder="1" applyAlignment="1">
      <alignment wrapText="1"/>
    </xf>
    <xf numFmtId="0" fontId="0" fillId="0" borderId="44" xfId="0" applyBorder="1"/>
    <xf numFmtId="0" fontId="5" fillId="7" borderId="17" xfId="0" applyFont="1" applyFill="1" applyBorder="1" applyAlignment="1">
      <alignment horizontal="center" vertical="center" textRotation="255"/>
    </xf>
    <xf numFmtId="0" fontId="5" fillId="7" borderId="13" xfId="0" applyFont="1" applyFill="1" applyBorder="1" applyAlignment="1">
      <alignment horizontal="center" vertical="center" textRotation="255"/>
    </xf>
    <xf numFmtId="0" fontId="5" fillId="7" borderId="15" xfId="0" applyFont="1" applyFill="1" applyBorder="1" applyAlignment="1">
      <alignment horizontal="center" vertical="center" textRotation="255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7" borderId="34" xfId="0" applyFont="1" applyFill="1" applyBorder="1" applyAlignment="1">
      <alignment horizontal="center" vertical="center" textRotation="255"/>
    </xf>
    <xf numFmtId="0" fontId="5" fillId="7" borderId="18" xfId="0" applyFont="1" applyFill="1" applyBorder="1" applyAlignment="1">
      <alignment horizontal="center" vertical="center" textRotation="255"/>
    </xf>
    <xf numFmtId="0" fontId="5" fillId="7" borderId="33" xfId="0" applyFont="1" applyFill="1" applyBorder="1" applyAlignment="1">
      <alignment horizontal="center" vertical="center" textRotation="255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Border="1" applyAlignment="1">
      <alignment horizontal="center"/>
    </xf>
    <xf numFmtId="0" fontId="5" fillId="7" borderId="39" xfId="0" applyFont="1" applyFill="1" applyBorder="1" applyAlignment="1">
      <alignment horizontal="center" vertical="center" textRotation="255"/>
    </xf>
    <xf numFmtId="0" fontId="5" fillId="7" borderId="40" xfId="0" applyFont="1" applyFill="1" applyBorder="1" applyAlignment="1">
      <alignment horizontal="center" vertical="center" textRotation="255"/>
    </xf>
    <xf numFmtId="0" fontId="5" fillId="7" borderId="41" xfId="0" applyFont="1" applyFill="1" applyBorder="1" applyAlignment="1">
      <alignment horizontal="center" vertical="center" textRotation="255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/>
    <xf numFmtId="0" fontId="0" fillId="0" borderId="31" xfId="0" applyBorder="1"/>
    <xf numFmtId="0" fontId="0" fillId="0" borderId="28" xfId="0" applyBorder="1"/>
    <xf numFmtId="0" fontId="4" fillId="7" borderId="34" xfId="0" applyFont="1" applyFill="1" applyBorder="1" applyAlignment="1">
      <alignment horizontal="center" vertical="center" textRotation="255"/>
    </xf>
    <xf numFmtId="0" fontId="3" fillId="7" borderId="18" xfId="0" applyFont="1" applyFill="1" applyBorder="1" applyAlignment="1">
      <alignment horizontal="center" vertical="center" textRotation="255"/>
    </xf>
    <xf numFmtId="0" fontId="3" fillId="7" borderId="33" xfId="0" applyFont="1" applyFill="1" applyBorder="1" applyAlignment="1">
      <alignment horizontal="center" vertical="center" textRotation="255"/>
    </xf>
    <xf numFmtId="0" fontId="4" fillId="7" borderId="18" xfId="0" applyFont="1" applyFill="1" applyBorder="1" applyAlignment="1">
      <alignment horizontal="center" vertical="center" textRotation="255"/>
    </xf>
    <xf numFmtId="0" fontId="4" fillId="7" borderId="33" xfId="0" applyFont="1" applyFill="1" applyBorder="1" applyAlignment="1">
      <alignment horizontal="center" vertical="center" textRotation="255"/>
    </xf>
    <xf numFmtId="0" fontId="0" fillId="7" borderId="34" xfId="0" applyFill="1" applyBorder="1" applyAlignment="1">
      <alignment horizontal="center" vertical="center" textRotation="90"/>
    </xf>
    <xf numFmtId="0" fontId="0" fillId="7" borderId="18" xfId="0" applyFill="1" applyBorder="1" applyAlignment="1">
      <alignment horizontal="center" vertical="center" textRotation="90"/>
    </xf>
    <xf numFmtId="0" fontId="0" fillId="7" borderId="33" xfId="0" applyFill="1" applyBorder="1" applyAlignment="1">
      <alignment horizontal="center" vertical="center" textRotation="90"/>
    </xf>
    <xf numFmtId="0" fontId="0" fillId="8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57</xdr:row>
      <xdr:rowOff>9525</xdr:rowOff>
    </xdr:from>
    <xdr:to>
      <xdr:col>8</xdr:col>
      <xdr:colOff>19049</xdr:colOff>
      <xdr:row>59</xdr:row>
      <xdr:rowOff>152400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3BFE108-A595-FAED-154C-D074D5837C5C}"/>
            </a:ext>
          </a:extLst>
        </xdr:cNvPr>
        <xdr:cNvSpPr txBox="1"/>
      </xdr:nvSpPr>
      <xdr:spPr>
        <a:xfrm>
          <a:off x="2743199" y="11020425"/>
          <a:ext cx="2771775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EM HIPÓTESE NENHUMA EXCLUA SALA DE AULA</a:t>
          </a:r>
        </a:p>
      </xdr:txBody>
    </xdr:sp>
    <xdr:clientData/>
  </xdr:twoCellAnchor>
  <xdr:twoCellAnchor>
    <xdr:from>
      <xdr:col>3</xdr:col>
      <xdr:colOff>590550</xdr:colOff>
      <xdr:row>45</xdr:row>
      <xdr:rowOff>28575</xdr:rowOff>
    </xdr:from>
    <xdr:to>
      <xdr:col>7</xdr:col>
      <xdr:colOff>571500</xdr:colOff>
      <xdr:row>56</xdr:row>
      <xdr:rowOff>180975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0A30F19-FFCE-79BD-3628-C217DB5CAC1A}"/>
            </a:ext>
          </a:extLst>
        </xdr:cNvPr>
        <xdr:cNvCxnSpPr/>
      </xdr:nvCxnSpPr>
      <xdr:spPr>
        <a:xfrm flipV="1">
          <a:off x="2733675" y="8820150"/>
          <a:ext cx="2724150" cy="2352675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45</xdr:row>
      <xdr:rowOff>0</xdr:rowOff>
    </xdr:from>
    <xdr:to>
      <xdr:col>8</xdr:col>
      <xdr:colOff>0</xdr:colOff>
      <xdr:row>56</xdr:row>
      <xdr:rowOff>190500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57F7D644-5570-5FE7-705F-66E6397C46A1}"/>
            </a:ext>
          </a:extLst>
        </xdr:cNvPr>
        <xdr:cNvCxnSpPr/>
      </xdr:nvCxnSpPr>
      <xdr:spPr>
        <a:xfrm>
          <a:off x="2752725" y="8791575"/>
          <a:ext cx="2743200" cy="2390775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83</xdr:row>
          <xdr:rowOff>19050</xdr:rowOff>
        </xdr:from>
        <xdr:to>
          <xdr:col>3</xdr:col>
          <xdr:colOff>9525</xdr:colOff>
          <xdr:row>88</xdr:row>
          <xdr:rowOff>0</xdr:rowOff>
        </xdr:to>
        <xdr:sp macro="" textlink="">
          <xdr:nvSpPr>
            <xdr:cNvPr id="1025" name="Button 1" descr="TEM CERTEZA QUE QUER RESETAR TUDO? 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RESETAR QUANTIDADE DE ALUNOS E QUANTIDADE DE ACERTOS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47</xdr:row>
          <xdr:rowOff>57150</xdr:rowOff>
        </xdr:from>
        <xdr:to>
          <xdr:col>16</xdr:col>
          <xdr:colOff>352425</xdr:colOff>
          <xdr:row>53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Fazer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57</xdr:row>
      <xdr:rowOff>9525</xdr:rowOff>
    </xdr:from>
    <xdr:to>
      <xdr:col>8</xdr:col>
      <xdr:colOff>19049</xdr:colOff>
      <xdr:row>59</xdr:row>
      <xdr:rowOff>152400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6C8ADC1-9627-4B0E-8706-1ECEDF1D16F0}"/>
            </a:ext>
          </a:extLst>
        </xdr:cNvPr>
        <xdr:cNvSpPr txBox="1"/>
      </xdr:nvSpPr>
      <xdr:spPr>
        <a:xfrm>
          <a:off x="2743199" y="11049000"/>
          <a:ext cx="278130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EM HIPÓTESE NENHUMA EXCLUA SALA DE AULA</a:t>
          </a:r>
        </a:p>
      </xdr:txBody>
    </xdr:sp>
    <xdr:clientData/>
  </xdr:twoCellAnchor>
  <xdr:twoCellAnchor>
    <xdr:from>
      <xdr:col>4</xdr:col>
      <xdr:colOff>0</xdr:colOff>
      <xdr:row>45</xdr:row>
      <xdr:rowOff>19050</xdr:rowOff>
    </xdr:from>
    <xdr:to>
      <xdr:col>7</xdr:col>
      <xdr:colOff>571500</xdr:colOff>
      <xdr:row>57</xdr:row>
      <xdr:rowOff>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49AB966E-78F2-427D-BBEC-66005BAB68F0}"/>
            </a:ext>
          </a:extLst>
        </xdr:cNvPr>
        <xdr:cNvCxnSpPr/>
      </xdr:nvCxnSpPr>
      <xdr:spPr>
        <a:xfrm flipV="1">
          <a:off x="2752725" y="8658225"/>
          <a:ext cx="2714625" cy="2381250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45</xdr:row>
      <xdr:rowOff>9525</xdr:rowOff>
    </xdr:from>
    <xdr:to>
      <xdr:col>7</xdr:col>
      <xdr:colOff>581025</xdr:colOff>
      <xdr:row>56</xdr:row>
      <xdr:rowOff>180975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4F7FA1D-587F-4C67-8D2A-FB63AEE77CB3}"/>
            </a:ext>
          </a:extLst>
        </xdr:cNvPr>
        <xdr:cNvCxnSpPr/>
      </xdr:nvCxnSpPr>
      <xdr:spPr>
        <a:xfrm>
          <a:off x="2752725" y="8648700"/>
          <a:ext cx="2724150" cy="2371725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78</xdr:row>
          <xdr:rowOff>171450</xdr:rowOff>
        </xdr:from>
        <xdr:to>
          <xdr:col>4</xdr:col>
          <xdr:colOff>9525</xdr:colOff>
          <xdr:row>85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RESETAR QUANTIDADE DE ALUNOS E QUANTIDADE DE ACERTOS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24</xdr:row>
          <xdr:rowOff>123825</xdr:rowOff>
        </xdr:from>
        <xdr:to>
          <xdr:col>21</xdr:col>
          <xdr:colOff>142875</xdr:colOff>
          <xdr:row>30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Fazer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57</xdr:row>
      <xdr:rowOff>9525</xdr:rowOff>
    </xdr:from>
    <xdr:to>
      <xdr:col>8</xdr:col>
      <xdr:colOff>19049</xdr:colOff>
      <xdr:row>59</xdr:row>
      <xdr:rowOff>152400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2D421D2-0CFF-4A8C-A6ED-12300746E171}"/>
            </a:ext>
          </a:extLst>
        </xdr:cNvPr>
        <xdr:cNvSpPr txBox="1"/>
      </xdr:nvSpPr>
      <xdr:spPr>
        <a:xfrm>
          <a:off x="2743199" y="11020425"/>
          <a:ext cx="2771775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EM HIPÓTESE NENHUMA EXCLUA SALA DE AULA</a:t>
          </a:r>
        </a:p>
      </xdr:txBody>
    </xdr:sp>
    <xdr:clientData/>
  </xdr:twoCellAnchor>
  <xdr:twoCellAnchor>
    <xdr:from>
      <xdr:col>4</xdr:col>
      <xdr:colOff>0</xdr:colOff>
      <xdr:row>44</xdr:row>
      <xdr:rowOff>171450</xdr:rowOff>
    </xdr:from>
    <xdr:to>
      <xdr:col>8</xdr:col>
      <xdr:colOff>0</xdr:colOff>
      <xdr:row>56</xdr:row>
      <xdr:rowOff>152400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6C7EB3C9-5347-323D-5FC4-286361E1A486}"/>
            </a:ext>
          </a:extLst>
        </xdr:cNvPr>
        <xdr:cNvCxnSpPr/>
      </xdr:nvCxnSpPr>
      <xdr:spPr>
        <a:xfrm>
          <a:off x="2752725" y="8610600"/>
          <a:ext cx="2752725" cy="2381250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45</xdr:row>
      <xdr:rowOff>19050</xdr:rowOff>
    </xdr:from>
    <xdr:to>
      <xdr:col>7</xdr:col>
      <xdr:colOff>600075</xdr:colOff>
      <xdr:row>57</xdr:row>
      <xdr:rowOff>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5568BFD0-6BF3-F88D-374F-B78106AEFD3F}"/>
            </a:ext>
          </a:extLst>
        </xdr:cNvPr>
        <xdr:cNvCxnSpPr/>
      </xdr:nvCxnSpPr>
      <xdr:spPr>
        <a:xfrm flipV="1">
          <a:off x="2714625" y="8658225"/>
          <a:ext cx="2781300" cy="2381250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68</xdr:row>
          <xdr:rowOff>152400</xdr:rowOff>
        </xdr:from>
        <xdr:to>
          <xdr:col>2</xdr:col>
          <xdr:colOff>333375</xdr:colOff>
          <xdr:row>74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RESETAR QUANTIDADE DE ALUNOS E QUANTIDADE DE ACERTOS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21</xdr:row>
          <xdr:rowOff>171450</xdr:rowOff>
        </xdr:from>
        <xdr:to>
          <xdr:col>14</xdr:col>
          <xdr:colOff>76200</xdr:colOff>
          <xdr:row>28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Fazer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57</xdr:row>
      <xdr:rowOff>9525</xdr:rowOff>
    </xdr:from>
    <xdr:to>
      <xdr:col>8</xdr:col>
      <xdr:colOff>19049</xdr:colOff>
      <xdr:row>59</xdr:row>
      <xdr:rowOff>152400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A3D30B-D52A-467A-BF98-22F7D62DB273}"/>
            </a:ext>
          </a:extLst>
        </xdr:cNvPr>
        <xdr:cNvSpPr txBox="1"/>
      </xdr:nvSpPr>
      <xdr:spPr>
        <a:xfrm>
          <a:off x="2819399" y="11134725"/>
          <a:ext cx="285750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EM HIPÓTESE NENHUMA EXCLUA SALA DE AULA</a:t>
          </a:r>
        </a:p>
      </xdr:txBody>
    </xdr:sp>
    <xdr:clientData/>
  </xdr:twoCellAnchor>
  <xdr:twoCellAnchor>
    <xdr:from>
      <xdr:col>4</xdr:col>
      <xdr:colOff>0</xdr:colOff>
      <xdr:row>45</xdr:row>
      <xdr:rowOff>19050</xdr:rowOff>
    </xdr:from>
    <xdr:to>
      <xdr:col>7</xdr:col>
      <xdr:colOff>571500</xdr:colOff>
      <xdr:row>57</xdr:row>
      <xdr:rowOff>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52DECD5B-67DE-40E3-BE64-E8245F767EDF}"/>
            </a:ext>
          </a:extLst>
        </xdr:cNvPr>
        <xdr:cNvCxnSpPr/>
      </xdr:nvCxnSpPr>
      <xdr:spPr>
        <a:xfrm flipV="1">
          <a:off x="2828925" y="8743950"/>
          <a:ext cx="2790825" cy="2381250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45</xdr:row>
      <xdr:rowOff>9525</xdr:rowOff>
    </xdr:from>
    <xdr:to>
      <xdr:col>7</xdr:col>
      <xdr:colOff>581025</xdr:colOff>
      <xdr:row>56</xdr:row>
      <xdr:rowOff>180975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2509EC7F-C49F-4A1C-A821-18DD1D060D4D}"/>
            </a:ext>
          </a:extLst>
        </xdr:cNvPr>
        <xdr:cNvCxnSpPr/>
      </xdr:nvCxnSpPr>
      <xdr:spPr>
        <a:xfrm>
          <a:off x="2828925" y="8734425"/>
          <a:ext cx="2800350" cy="2371725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78</xdr:row>
          <xdr:rowOff>171450</xdr:rowOff>
        </xdr:from>
        <xdr:to>
          <xdr:col>4</xdr:col>
          <xdr:colOff>9525</xdr:colOff>
          <xdr:row>85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RESETAR QUANTIDADE DE ALUNOS E QUANTIDADE DE ACERTOS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26</xdr:row>
          <xdr:rowOff>123825</xdr:rowOff>
        </xdr:from>
        <xdr:to>
          <xdr:col>15</xdr:col>
          <xdr:colOff>495300</xdr:colOff>
          <xdr:row>32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Fazer gráfico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AE68F-BE24-491C-A44C-139E74BEC82F}">
  <sheetPr codeName="Planilha2"/>
  <dimension ref="A1:AQ81"/>
  <sheetViews>
    <sheetView topLeftCell="A37" zoomScale="70" zoomScaleNormal="70" workbookViewId="0">
      <selection activeCell="F67" sqref="F67:F70"/>
    </sheetView>
  </sheetViews>
  <sheetFormatPr defaultRowHeight="15" x14ac:dyDescent="0.25"/>
  <cols>
    <col min="1" max="1" width="13.85546875" customWidth="1"/>
    <col min="5" max="5" width="13.85546875" customWidth="1"/>
    <col min="6" max="6" width="9" bestFit="1" customWidth="1"/>
    <col min="9" max="9" width="13.5703125" customWidth="1"/>
    <col min="13" max="13" width="12.7109375" customWidth="1"/>
    <col min="17" max="17" width="13.7109375" customWidth="1"/>
    <col min="21" max="21" width="11.85546875" bestFit="1" customWidth="1"/>
    <col min="25" max="25" width="11.85546875" bestFit="1" customWidth="1"/>
    <col min="29" max="29" width="11.85546875" bestFit="1" customWidth="1"/>
    <col min="33" max="33" width="11.85546875" bestFit="1" customWidth="1"/>
    <col min="37" max="37" width="11.85546875" bestFit="1" customWidth="1"/>
    <col min="41" max="41" width="11.85546875" bestFit="1" customWidth="1"/>
  </cols>
  <sheetData>
    <row r="1" spans="1:43" x14ac:dyDescent="0.25">
      <c r="A1" s="20" t="s">
        <v>86</v>
      </c>
      <c r="B1" s="2" t="s">
        <v>0</v>
      </c>
      <c r="C1" s="3" t="s">
        <v>1</v>
      </c>
      <c r="E1" s="7" t="s">
        <v>87</v>
      </c>
      <c r="F1" s="2" t="s">
        <v>0</v>
      </c>
      <c r="G1" s="3" t="s">
        <v>1</v>
      </c>
      <c r="I1" s="8" t="s">
        <v>88</v>
      </c>
      <c r="J1" s="2" t="s">
        <v>0</v>
      </c>
      <c r="K1" s="3" t="s">
        <v>1</v>
      </c>
      <c r="M1" s="8" t="s">
        <v>89</v>
      </c>
      <c r="N1" s="2" t="s">
        <v>0</v>
      </c>
      <c r="O1" s="3" t="s">
        <v>1</v>
      </c>
      <c r="Q1" s="8" t="s">
        <v>90</v>
      </c>
      <c r="R1" s="2" t="s">
        <v>0</v>
      </c>
      <c r="S1" s="3" t="s">
        <v>1</v>
      </c>
      <c r="U1" s="8" t="s">
        <v>91</v>
      </c>
      <c r="V1" s="2" t="s">
        <v>0</v>
      </c>
      <c r="W1" s="3" t="s">
        <v>1</v>
      </c>
      <c r="Y1" s="8" t="s">
        <v>92</v>
      </c>
      <c r="Z1" s="2" t="s">
        <v>0</v>
      </c>
      <c r="AA1" s="3" t="s">
        <v>1</v>
      </c>
      <c r="AC1" s="8" t="s">
        <v>93</v>
      </c>
      <c r="AD1" s="2" t="s">
        <v>0</v>
      </c>
      <c r="AE1" s="3" t="s">
        <v>1</v>
      </c>
      <c r="AG1" s="8" t="s">
        <v>94</v>
      </c>
      <c r="AH1" s="2" t="s">
        <v>0</v>
      </c>
      <c r="AI1" s="3" t="s">
        <v>1</v>
      </c>
      <c r="AK1" s="8" t="s">
        <v>95</v>
      </c>
      <c r="AL1" s="2" t="s">
        <v>0</v>
      </c>
      <c r="AM1" s="3" t="s">
        <v>1</v>
      </c>
      <c r="AO1" s="8" t="s">
        <v>96</v>
      </c>
      <c r="AP1" s="2" t="s">
        <v>0</v>
      </c>
      <c r="AQ1" s="3" t="s">
        <v>1</v>
      </c>
    </row>
    <row r="2" spans="1:43" x14ac:dyDescent="0.25">
      <c r="A2" s="4" t="str">
        <f>$A47</f>
        <v>QUESTÃO 1</v>
      </c>
      <c r="B2" s="5" t="e">
        <f>B24/$F$63*100/100</f>
        <v>#DIV/0!</v>
      </c>
      <c r="C2" s="6" t="e">
        <f>100%-B2</f>
        <v>#DIV/0!</v>
      </c>
      <c r="E2" s="4" t="str">
        <f>$A47</f>
        <v>QUESTÃO 1</v>
      </c>
      <c r="F2" s="5" t="e">
        <f>F24/$F$64*100/100</f>
        <v>#DIV/0!</v>
      </c>
      <c r="G2" s="6" t="e">
        <f>100%-F2</f>
        <v>#DIV/0!</v>
      </c>
      <c r="I2" s="4" t="str">
        <f>$A47</f>
        <v>QUESTÃO 1</v>
      </c>
      <c r="J2" s="5" t="e">
        <f>J24/$F$65*100/100</f>
        <v>#DIV/0!</v>
      </c>
      <c r="K2" s="6" t="e">
        <f>100%-J2</f>
        <v>#DIV/0!</v>
      </c>
      <c r="M2" s="4" t="str">
        <f>$A47</f>
        <v>QUESTÃO 1</v>
      </c>
      <c r="N2" s="5" t="e">
        <f>N24/$F$66*100/100</f>
        <v>#DIV/0!</v>
      </c>
      <c r="O2" s="6" t="e">
        <f>100%-N2</f>
        <v>#DIV/0!</v>
      </c>
      <c r="Q2" s="4" t="str">
        <f>$A47</f>
        <v>QUESTÃO 1</v>
      </c>
      <c r="R2" s="5">
        <f>R24/$F$67*100/100</f>
        <v>0.84210526315789469</v>
      </c>
      <c r="S2" s="6">
        <f>100%-R2</f>
        <v>0.15789473684210531</v>
      </c>
      <c r="U2" s="4" t="str">
        <f>$A47</f>
        <v>QUESTÃO 1</v>
      </c>
      <c r="V2" s="5">
        <f>V24/$F$68*100/100</f>
        <v>0.78947368421052633</v>
      </c>
      <c r="W2" s="6">
        <f>100%-V2</f>
        <v>0.21052631578947367</v>
      </c>
      <c r="Y2" s="4" t="str">
        <f>$A47</f>
        <v>QUESTÃO 1</v>
      </c>
      <c r="Z2" s="5">
        <f>Z24/$F$69*100/100</f>
        <v>0.82352941176470584</v>
      </c>
      <c r="AA2" s="6">
        <f>100%-Z2</f>
        <v>0.17647058823529416</v>
      </c>
      <c r="AC2" s="4" t="str">
        <f>$A47</f>
        <v>QUESTÃO 1</v>
      </c>
      <c r="AD2" s="5">
        <f>AD24/$F$70*100/100</f>
        <v>0.57894736842105265</v>
      </c>
      <c r="AE2" s="6">
        <f>100%-AD2</f>
        <v>0.42105263157894735</v>
      </c>
      <c r="AG2" s="4" t="str">
        <f>$A47</f>
        <v>QUESTÃO 1</v>
      </c>
      <c r="AH2" s="5" t="e">
        <f>AH24/$F$71*100/100</f>
        <v>#DIV/0!</v>
      </c>
      <c r="AI2" s="6" t="e">
        <f>100%-AH2</f>
        <v>#DIV/0!</v>
      </c>
      <c r="AK2" s="4" t="str">
        <f>$A47</f>
        <v>QUESTÃO 1</v>
      </c>
      <c r="AL2" s="5" t="e">
        <f>AL24/$F$72*100/100</f>
        <v>#DIV/0!</v>
      </c>
      <c r="AM2" s="6" t="e">
        <f>100%-AL2</f>
        <v>#DIV/0!</v>
      </c>
      <c r="AO2" s="4" t="str">
        <f>$A47</f>
        <v>QUESTÃO 1</v>
      </c>
      <c r="AP2" s="5" t="e">
        <f>AP24/$F$73*100/100</f>
        <v>#DIV/0!</v>
      </c>
      <c r="AQ2" s="6" t="e">
        <f>100%-AP2</f>
        <v>#DIV/0!</v>
      </c>
    </row>
    <row r="3" spans="1:43" x14ac:dyDescent="0.25">
      <c r="A3" s="4" t="str">
        <f t="shared" ref="A3:A21" si="0">$A48</f>
        <v>QUESTÃO 2</v>
      </c>
      <c r="B3" s="5" t="e">
        <f t="shared" ref="B3:B21" si="1">B25/$F$63*100/100</f>
        <v>#DIV/0!</v>
      </c>
      <c r="C3" s="6" t="e">
        <f t="shared" ref="C3:C21" si="2">100%-B3</f>
        <v>#DIV/0!</v>
      </c>
      <c r="E3" s="4" t="str">
        <f t="shared" ref="E3:E21" si="3">$A48</f>
        <v>QUESTÃO 2</v>
      </c>
      <c r="F3" s="5" t="e">
        <f t="shared" ref="F3:F21" si="4">F25/$F$64*100/100</f>
        <v>#DIV/0!</v>
      </c>
      <c r="G3" s="6" t="e">
        <f t="shared" ref="G3:G21" si="5">100%-F3</f>
        <v>#DIV/0!</v>
      </c>
      <c r="I3" s="4" t="str">
        <f t="shared" ref="I3:I21" si="6">$A48</f>
        <v>QUESTÃO 2</v>
      </c>
      <c r="J3" s="5" t="e">
        <f t="shared" ref="J3:J21" si="7">J25/$F$65*100/100</f>
        <v>#DIV/0!</v>
      </c>
      <c r="K3" s="6" t="e">
        <f t="shared" ref="K3:K21" si="8">100%-J3</f>
        <v>#DIV/0!</v>
      </c>
      <c r="M3" s="4" t="str">
        <f t="shared" ref="M3:M21" si="9">$A48</f>
        <v>QUESTÃO 2</v>
      </c>
      <c r="N3" s="5" t="e">
        <f t="shared" ref="N3:N21" si="10">N25/$F$66*100/100</f>
        <v>#DIV/0!</v>
      </c>
      <c r="O3" s="6" t="e">
        <f t="shared" ref="O3:O21" si="11">100%-N3</f>
        <v>#DIV/0!</v>
      </c>
      <c r="Q3" s="4" t="str">
        <f t="shared" ref="Q3:Q21" si="12">$A48</f>
        <v>QUESTÃO 2</v>
      </c>
      <c r="R3" s="5">
        <f t="shared" ref="R3:R21" si="13">R25/$F$67*100/100</f>
        <v>0.73684210526315785</v>
      </c>
      <c r="S3" s="6">
        <f t="shared" ref="S3:S21" si="14">100%-R3</f>
        <v>0.26315789473684215</v>
      </c>
      <c r="U3" s="4" t="str">
        <f t="shared" ref="U3:U21" si="15">$A48</f>
        <v>QUESTÃO 2</v>
      </c>
      <c r="V3" s="5">
        <f t="shared" ref="V3:V21" si="16">V25/$F$68*100/100</f>
        <v>0.31578947368421051</v>
      </c>
      <c r="W3" s="6">
        <f t="shared" ref="W3:W21" si="17">100%-V3</f>
        <v>0.68421052631578949</v>
      </c>
      <c r="Y3" s="4" t="str">
        <f t="shared" ref="Y3:Y21" si="18">$A48</f>
        <v>QUESTÃO 2</v>
      </c>
      <c r="Z3" s="5">
        <f t="shared" ref="Z3:Z21" si="19">Z25/$F$69*100/100</f>
        <v>0.52941176470588236</v>
      </c>
      <c r="AA3" s="6">
        <f t="shared" ref="AA3:AA21" si="20">100%-Z3</f>
        <v>0.47058823529411764</v>
      </c>
      <c r="AC3" s="4" t="str">
        <f t="shared" ref="AC3:AC21" si="21">$A48</f>
        <v>QUESTÃO 2</v>
      </c>
      <c r="AD3" s="5">
        <f t="shared" ref="AD3:AD21" si="22">AD25/$F$70*100/100</f>
        <v>0.52631578947368418</v>
      </c>
      <c r="AE3" s="6">
        <f t="shared" ref="AE3:AE21" si="23">100%-AD3</f>
        <v>0.47368421052631582</v>
      </c>
      <c r="AG3" s="4" t="str">
        <f t="shared" ref="AG3:AG21" si="24">$A48</f>
        <v>QUESTÃO 2</v>
      </c>
      <c r="AH3" s="5" t="e">
        <f t="shared" ref="AH3:AH21" si="25">AH25/$F$71*100/100</f>
        <v>#DIV/0!</v>
      </c>
      <c r="AI3" s="6" t="e">
        <f t="shared" ref="AI3:AI21" si="26">100%-AH3</f>
        <v>#DIV/0!</v>
      </c>
      <c r="AK3" s="4" t="str">
        <f t="shared" ref="AK3:AK21" si="27">$A48</f>
        <v>QUESTÃO 2</v>
      </c>
      <c r="AL3" s="5" t="e">
        <f t="shared" ref="AL3:AL21" si="28">AL25/$F$72*100/100</f>
        <v>#DIV/0!</v>
      </c>
      <c r="AM3" s="6" t="e">
        <f t="shared" ref="AM3:AM21" si="29">100%-AL3</f>
        <v>#DIV/0!</v>
      </c>
      <c r="AO3" s="4" t="str">
        <f t="shared" ref="AO3:AO21" si="30">$A48</f>
        <v>QUESTÃO 2</v>
      </c>
      <c r="AP3" s="5" t="e">
        <f t="shared" ref="AP3:AP21" si="31">AP25/$F$73*100/100</f>
        <v>#DIV/0!</v>
      </c>
      <c r="AQ3" s="6" t="e">
        <f t="shared" ref="AQ3:AQ21" si="32">100%-AP3</f>
        <v>#DIV/0!</v>
      </c>
    </row>
    <row r="4" spans="1:43" x14ac:dyDescent="0.25">
      <c r="A4" s="4" t="str">
        <f t="shared" si="0"/>
        <v>QUESTÃO 3</v>
      </c>
      <c r="B4" s="5" t="e">
        <f t="shared" si="1"/>
        <v>#DIV/0!</v>
      </c>
      <c r="C4" s="6" t="e">
        <f t="shared" si="2"/>
        <v>#DIV/0!</v>
      </c>
      <c r="E4" s="4" t="str">
        <f t="shared" si="3"/>
        <v>QUESTÃO 3</v>
      </c>
      <c r="F4" s="5" t="e">
        <f t="shared" si="4"/>
        <v>#DIV/0!</v>
      </c>
      <c r="G4" s="6" t="e">
        <f t="shared" si="5"/>
        <v>#DIV/0!</v>
      </c>
      <c r="I4" s="4" t="str">
        <f t="shared" si="6"/>
        <v>QUESTÃO 3</v>
      </c>
      <c r="J4" s="5" t="e">
        <f t="shared" si="7"/>
        <v>#DIV/0!</v>
      </c>
      <c r="K4" s="6" t="e">
        <f t="shared" si="8"/>
        <v>#DIV/0!</v>
      </c>
      <c r="M4" s="4" t="str">
        <f t="shared" si="9"/>
        <v>QUESTÃO 3</v>
      </c>
      <c r="N4" s="5" t="e">
        <f t="shared" si="10"/>
        <v>#DIV/0!</v>
      </c>
      <c r="O4" s="6" t="e">
        <f t="shared" si="11"/>
        <v>#DIV/0!</v>
      </c>
      <c r="Q4" s="4" t="str">
        <f t="shared" si="12"/>
        <v>QUESTÃO 3</v>
      </c>
      <c r="R4" s="5">
        <f t="shared" si="13"/>
        <v>0.63157894736842102</v>
      </c>
      <c r="S4" s="6">
        <f t="shared" si="14"/>
        <v>0.36842105263157898</v>
      </c>
      <c r="U4" s="4" t="str">
        <f t="shared" si="15"/>
        <v>QUESTÃO 3</v>
      </c>
      <c r="V4" s="5">
        <f t="shared" si="16"/>
        <v>0.15789473684210525</v>
      </c>
      <c r="W4" s="6">
        <f t="shared" si="17"/>
        <v>0.84210526315789469</v>
      </c>
      <c r="Y4" s="4" t="str">
        <f t="shared" si="18"/>
        <v>QUESTÃO 3</v>
      </c>
      <c r="Z4" s="5">
        <f t="shared" si="19"/>
        <v>0.29411764705882354</v>
      </c>
      <c r="AA4" s="6">
        <f t="shared" si="20"/>
        <v>0.70588235294117641</v>
      </c>
      <c r="AC4" s="4" t="str">
        <f t="shared" si="21"/>
        <v>QUESTÃO 3</v>
      </c>
      <c r="AD4" s="5">
        <f t="shared" si="22"/>
        <v>0.47368421052631576</v>
      </c>
      <c r="AE4" s="6">
        <f t="shared" si="23"/>
        <v>0.52631578947368429</v>
      </c>
      <c r="AG4" s="4" t="str">
        <f t="shared" si="24"/>
        <v>QUESTÃO 3</v>
      </c>
      <c r="AH4" s="5" t="e">
        <f t="shared" si="25"/>
        <v>#DIV/0!</v>
      </c>
      <c r="AI4" s="6" t="e">
        <f t="shared" si="26"/>
        <v>#DIV/0!</v>
      </c>
      <c r="AK4" s="4" t="str">
        <f t="shared" si="27"/>
        <v>QUESTÃO 3</v>
      </c>
      <c r="AL4" s="5" t="e">
        <f t="shared" si="28"/>
        <v>#DIV/0!</v>
      </c>
      <c r="AM4" s="6" t="e">
        <f t="shared" si="29"/>
        <v>#DIV/0!</v>
      </c>
      <c r="AO4" s="4" t="str">
        <f t="shared" si="30"/>
        <v>QUESTÃO 3</v>
      </c>
      <c r="AP4" s="5" t="e">
        <f t="shared" si="31"/>
        <v>#DIV/0!</v>
      </c>
      <c r="AQ4" s="6" t="e">
        <f t="shared" si="32"/>
        <v>#DIV/0!</v>
      </c>
    </row>
    <row r="5" spans="1:43" x14ac:dyDescent="0.25">
      <c r="A5" s="4" t="str">
        <f t="shared" si="0"/>
        <v>QUESTÃO 4</v>
      </c>
      <c r="B5" s="5" t="e">
        <f t="shared" si="1"/>
        <v>#DIV/0!</v>
      </c>
      <c r="C5" s="6" t="e">
        <f t="shared" si="2"/>
        <v>#DIV/0!</v>
      </c>
      <c r="E5" s="4" t="str">
        <f t="shared" si="3"/>
        <v>QUESTÃO 4</v>
      </c>
      <c r="F5" s="5" t="e">
        <f t="shared" si="4"/>
        <v>#DIV/0!</v>
      </c>
      <c r="G5" s="6" t="e">
        <f t="shared" si="5"/>
        <v>#DIV/0!</v>
      </c>
      <c r="I5" s="4" t="str">
        <f t="shared" si="6"/>
        <v>QUESTÃO 4</v>
      </c>
      <c r="J5" s="5" t="e">
        <f t="shared" si="7"/>
        <v>#DIV/0!</v>
      </c>
      <c r="K5" s="6" t="e">
        <f t="shared" si="8"/>
        <v>#DIV/0!</v>
      </c>
      <c r="M5" s="4" t="str">
        <f t="shared" si="9"/>
        <v>QUESTÃO 4</v>
      </c>
      <c r="N5" s="5" t="e">
        <f t="shared" si="10"/>
        <v>#DIV/0!</v>
      </c>
      <c r="O5" s="6" t="e">
        <f t="shared" si="11"/>
        <v>#DIV/0!</v>
      </c>
      <c r="Q5" s="4" t="str">
        <f t="shared" si="12"/>
        <v>QUESTÃO 4</v>
      </c>
      <c r="R5" s="5">
        <f t="shared" si="13"/>
        <v>0.68421052631578949</v>
      </c>
      <c r="S5" s="6">
        <f t="shared" si="14"/>
        <v>0.31578947368421051</v>
      </c>
      <c r="U5" s="4" t="str">
        <f t="shared" si="15"/>
        <v>QUESTÃO 4</v>
      </c>
      <c r="V5" s="5">
        <f t="shared" si="16"/>
        <v>0.47368421052631576</v>
      </c>
      <c r="W5" s="6">
        <f t="shared" si="17"/>
        <v>0.52631578947368429</v>
      </c>
      <c r="Y5" s="4" t="str">
        <f t="shared" si="18"/>
        <v>QUESTÃO 4</v>
      </c>
      <c r="Z5" s="5">
        <f t="shared" si="19"/>
        <v>0.47058823529411759</v>
      </c>
      <c r="AA5" s="6">
        <f t="shared" si="20"/>
        <v>0.52941176470588247</v>
      </c>
      <c r="AC5" s="4" t="str">
        <f t="shared" si="21"/>
        <v>QUESTÃO 4</v>
      </c>
      <c r="AD5" s="5">
        <f t="shared" si="22"/>
        <v>0.63157894736842102</v>
      </c>
      <c r="AE5" s="6">
        <f t="shared" si="23"/>
        <v>0.36842105263157898</v>
      </c>
      <c r="AG5" s="4" t="str">
        <f t="shared" si="24"/>
        <v>QUESTÃO 4</v>
      </c>
      <c r="AH5" s="5" t="e">
        <f t="shared" si="25"/>
        <v>#DIV/0!</v>
      </c>
      <c r="AI5" s="6" t="e">
        <f t="shared" si="26"/>
        <v>#DIV/0!</v>
      </c>
      <c r="AK5" s="4" t="str">
        <f t="shared" si="27"/>
        <v>QUESTÃO 4</v>
      </c>
      <c r="AL5" s="5" t="e">
        <f t="shared" si="28"/>
        <v>#DIV/0!</v>
      </c>
      <c r="AM5" s="6" t="e">
        <f t="shared" si="29"/>
        <v>#DIV/0!</v>
      </c>
      <c r="AO5" s="4" t="str">
        <f t="shared" si="30"/>
        <v>QUESTÃO 4</v>
      </c>
      <c r="AP5" s="5" t="e">
        <f t="shared" si="31"/>
        <v>#DIV/0!</v>
      </c>
      <c r="AQ5" s="6" t="e">
        <f t="shared" si="32"/>
        <v>#DIV/0!</v>
      </c>
    </row>
    <row r="6" spans="1:43" x14ac:dyDescent="0.25">
      <c r="A6" s="4" t="str">
        <f t="shared" si="0"/>
        <v>QUESTÃO 5</v>
      </c>
      <c r="B6" s="5" t="e">
        <f t="shared" si="1"/>
        <v>#DIV/0!</v>
      </c>
      <c r="C6" s="6" t="e">
        <f t="shared" si="2"/>
        <v>#DIV/0!</v>
      </c>
      <c r="E6" s="4" t="str">
        <f t="shared" si="3"/>
        <v>QUESTÃO 5</v>
      </c>
      <c r="F6" s="5" t="e">
        <f t="shared" si="4"/>
        <v>#DIV/0!</v>
      </c>
      <c r="G6" s="6" t="e">
        <f t="shared" si="5"/>
        <v>#DIV/0!</v>
      </c>
      <c r="I6" s="4" t="str">
        <f t="shared" si="6"/>
        <v>QUESTÃO 5</v>
      </c>
      <c r="J6" s="5" t="e">
        <f t="shared" si="7"/>
        <v>#DIV/0!</v>
      </c>
      <c r="K6" s="6" t="e">
        <f t="shared" si="8"/>
        <v>#DIV/0!</v>
      </c>
      <c r="M6" s="4" t="str">
        <f t="shared" si="9"/>
        <v>QUESTÃO 5</v>
      </c>
      <c r="N6" s="5" t="e">
        <f t="shared" si="10"/>
        <v>#DIV/0!</v>
      </c>
      <c r="O6" s="6" t="e">
        <f t="shared" si="11"/>
        <v>#DIV/0!</v>
      </c>
      <c r="Q6" s="4" t="str">
        <f t="shared" si="12"/>
        <v>QUESTÃO 5</v>
      </c>
      <c r="R6" s="5">
        <f t="shared" si="13"/>
        <v>0.57894736842105265</v>
      </c>
      <c r="S6" s="6">
        <f t="shared" si="14"/>
        <v>0.42105263157894735</v>
      </c>
      <c r="U6" s="4" t="str">
        <f t="shared" si="15"/>
        <v>QUESTÃO 5</v>
      </c>
      <c r="V6" s="5">
        <f t="shared" si="16"/>
        <v>0.57894736842105265</v>
      </c>
      <c r="W6" s="6">
        <f t="shared" si="17"/>
        <v>0.42105263157894735</v>
      </c>
      <c r="Y6" s="4" t="str">
        <f t="shared" si="18"/>
        <v>QUESTÃO 5</v>
      </c>
      <c r="Z6" s="5">
        <f t="shared" si="19"/>
        <v>0.41176470588235292</v>
      </c>
      <c r="AA6" s="6">
        <f t="shared" si="20"/>
        <v>0.58823529411764708</v>
      </c>
      <c r="AC6" s="4" t="str">
        <f t="shared" si="21"/>
        <v>QUESTÃO 5</v>
      </c>
      <c r="AD6" s="5">
        <f t="shared" si="22"/>
        <v>0.57894736842105265</v>
      </c>
      <c r="AE6" s="6">
        <f t="shared" si="23"/>
        <v>0.42105263157894735</v>
      </c>
      <c r="AG6" s="4" t="str">
        <f t="shared" si="24"/>
        <v>QUESTÃO 5</v>
      </c>
      <c r="AH6" s="5" t="e">
        <f t="shared" si="25"/>
        <v>#DIV/0!</v>
      </c>
      <c r="AI6" s="6" t="e">
        <f t="shared" si="26"/>
        <v>#DIV/0!</v>
      </c>
      <c r="AK6" s="4" t="str">
        <f t="shared" si="27"/>
        <v>QUESTÃO 5</v>
      </c>
      <c r="AL6" s="5" t="e">
        <f t="shared" si="28"/>
        <v>#DIV/0!</v>
      </c>
      <c r="AM6" s="6" t="e">
        <f t="shared" si="29"/>
        <v>#DIV/0!</v>
      </c>
      <c r="AO6" s="4" t="str">
        <f t="shared" si="30"/>
        <v>QUESTÃO 5</v>
      </c>
      <c r="AP6" s="5" t="e">
        <f t="shared" si="31"/>
        <v>#DIV/0!</v>
      </c>
      <c r="AQ6" s="6" t="e">
        <f t="shared" si="32"/>
        <v>#DIV/0!</v>
      </c>
    </row>
    <row r="7" spans="1:43" x14ac:dyDescent="0.25">
      <c r="A7" s="4" t="str">
        <f t="shared" si="0"/>
        <v>QUESTÃO 6</v>
      </c>
      <c r="B7" s="5" t="e">
        <f t="shared" si="1"/>
        <v>#DIV/0!</v>
      </c>
      <c r="C7" s="6" t="e">
        <f t="shared" si="2"/>
        <v>#DIV/0!</v>
      </c>
      <c r="E7" s="4" t="str">
        <f t="shared" si="3"/>
        <v>QUESTÃO 6</v>
      </c>
      <c r="F7" s="5" t="e">
        <f t="shared" si="4"/>
        <v>#DIV/0!</v>
      </c>
      <c r="G7" s="6" t="e">
        <f t="shared" si="5"/>
        <v>#DIV/0!</v>
      </c>
      <c r="I7" s="4" t="str">
        <f t="shared" si="6"/>
        <v>QUESTÃO 6</v>
      </c>
      <c r="J7" s="5" t="e">
        <f t="shared" si="7"/>
        <v>#DIV/0!</v>
      </c>
      <c r="K7" s="6" t="e">
        <f t="shared" si="8"/>
        <v>#DIV/0!</v>
      </c>
      <c r="M7" s="4" t="str">
        <f t="shared" si="9"/>
        <v>QUESTÃO 6</v>
      </c>
      <c r="N7" s="5" t="e">
        <f t="shared" si="10"/>
        <v>#DIV/0!</v>
      </c>
      <c r="O7" s="6" t="e">
        <f t="shared" si="11"/>
        <v>#DIV/0!</v>
      </c>
      <c r="Q7" s="4" t="str">
        <f t="shared" si="12"/>
        <v>QUESTÃO 6</v>
      </c>
      <c r="R7" s="5">
        <f t="shared" si="13"/>
        <v>0.84210526315789469</v>
      </c>
      <c r="S7" s="6">
        <f t="shared" si="14"/>
        <v>0.15789473684210531</v>
      </c>
      <c r="U7" s="4" t="str">
        <f t="shared" si="15"/>
        <v>QUESTÃO 6</v>
      </c>
      <c r="V7" s="5">
        <f t="shared" si="16"/>
        <v>0.57894736842105265</v>
      </c>
      <c r="W7" s="6">
        <f t="shared" si="17"/>
        <v>0.42105263157894735</v>
      </c>
      <c r="Y7" s="4" t="str">
        <f t="shared" si="18"/>
        <v>QUESTÃO 6</v>
      </c>
      <c r="Z7" s="5">
        <f t="shared" si="19"/>
        <v>0.64705882352941169</v>
      </c>
      <c r="AA7" s="6">
        <f t="shared" si="20"/>
        <v>0.35294117647058831</v>
      </c>
      <c r="AC7" s="4" t="str">
        <f t="shared" si="21"/>
        <v>QUESTÃO 6</v>
      </c>
      <c r="AD7" s="5">
        <f t="shared" si="22"/>
        <v>0.78947368421052633</v>
      </c>
      <c r="AE7" s="6">
        <f t="shared" si="23"/>
        <v>0.21052631578947367</v>
      </c>
      <c r="AG7" s="4" t="str">
        <f t="shared" si="24"/>
        <v>QUESTÃO 6</v>
      </c>
      <c r="AH7" s="5" t="e">
        <f t="shared" si="25"/>
        <v>#DIV/0!</v>
      </c>
      <c r="AI7" s="6" t="e">
        <f t="shared" si="26"/>
        <v>#DIV/0!</v>
      </c>
      <c r="AK7" s="4" t="str">
        <f t="shared" si="27"/>
        <v>QUESTÃO 6</v>
      </c>
      <c r="AL7" s="5" t="e">
        <f t="shared" si="28"/>
        <v>#DIV/0!</v>
      </c>
      <c r="AM7" s="6" t="e">
        <f t="shared" si="29"/>
        <v>#DIV/0!</v>
      </c>
      <c r="AO7" s="4" t="str">
        <f t="shared" si="30"/>
        <v>QUESTÃO 6</v>
      </c>
      <c r="AP7" s="5" t="e">
        <f t="shared" si="31"/>
        <v>#DIV/0!</v>
      </c>
      <c r="AQ7" s="6" t="e">
        <f t="shared" si="32"/>
        <v>#DIV/0!</v>
      </c>
    </row>
    <row r="8" spans="1:43" x14ac:dyDescent="0.25">
      <c r="A8" s="4" t="str">
        <f t="shared" si="0"/>
        <v>QUESTÃO 7</v>
      </c>
      <c r="B8" s="5" t="e">
        <f t="shared" si="1"/>
        <v>#DIV/0!</v>
      </c>
      <c r="C8" s="6" t="e">
        <f t="shared" si="2"/>
        <v>#DIV/0!</v>
      </c>
      <c r="E8" s="4" t="str">
        <f t="shared" si="3"/>
        <v>QUESTÃO 7</v>
      </c>
      <c r="F8" s="5" t="e">
        <f t="shared" si="4"/>
        <v>#DIV/0!</v>
      </c>
      <c r="G8" s="6" t="e">
        <f t="shared" si="5"/>
        <v>#DIV/0!</v>
      </c>
      <c r="I8" s="4" t="str">
        <f t="shared" si="6"/>
        <v>QUESTÃO 7</v>
      </c>
      <c r="J8" s="5" t="e">
        <f t="shared" si="7"/>
        <v>#DIV/0!</v>
      </c>
      <c r="K8" s="6" t="e">
        <f t="shared" si="8"/>
        <v>#DIV/0!</v>
      </c>
      <c r="M8" s="4" t="str">
        <f t="shared" si="9"/>
        <v>QUESTÃO 7</v>
      </c>
      <c r="N8" s="5" t="e">
        <f t="shared" si="10"/>
        <v>#DIV/0!</v>
      </c>
      <c r="O8" s="6" t="e">
        <f t="shared" si="11"/>
        <v>#DIV/0!</v>
      </c>
      <c r="Q8" s="4" t="str">
        <f t="shared" si="12"/>
        <v>QUESTÃO 7</v>
      </c>
      <c r="R8" s="5">
        <f t="shared" si="13"/>
        <v>0.73684210526315785</v>
      </c>
      <c r="S8" s="6">
        <f t="shared" si="14"/>
        <v>0.26315789473684215</v>
      </c>
      <c r="U8" s="4" t="str">
        <f t="shared" si="15"/>
        <v>QUESTÃO 7</v>
      </c>
      <c r="V8" s="5">
        <f t="shared" si="16"/>
        <v>0.47368421052631576</v>
      </c>
      <c r="W8" s="6">
        <f t="shared" si="17"/>
        <v>0.52631578947368429</v>
      </c>
      <c r="Y8" s="4" t="str">
        <f t="shared" si="18"/>
        <v>QUESTÃO 7</v>
      </c>
      <c r="Z8" s="5">
        <f t="shared" si="19"/>
        <v>0.47058823529411759</v>
      </c>
      <c r="AA8" s="6">
        <f t="shared" si="20"/>
        <v>0.52941176470588247</v>
      </c>
      <c r="AC8" s="4" t="str">
        <f t="shared" si="21"/>
        <v>QUESTÃO 7</v>
      </c>
      <c r="AD8" s="5">
        <f t="shared" si="22"/>
        <v>0.36842105263157893</v>
      </c>
      <c r="AE8" s="6">
        <f t="shared" si="23"/>
        <v>0.63157894736842102</v>
      </c>
      <c r="AG8" s="4" t="str">
        <f t="shared" si="24"/>
        <v>QUESTÃO 7</v>
      </c>
      <c r="AH8" s="5" t="e">
        <f t="shared" si="25"/>
        <v>#DIV/0!</v>
      </c>
      <c r="AI8" s="6" t="e">
        <f t="shared" si="26"/>
        <v>#DIV/0!</v>
      </c>
      <c r="AK8" s="4" t="str">
        <f t="shared" si="27"/>
        <v>QUESTÃO 7</v>
      </c>
      <c r="AL8" s="5" t="e">
        <f t="shared" si="28"/>
        <v>#DIV/0!</v>
      </c>
      <c r="AM8" s="6" t="e">
        <f t="shared" si="29"/>
        <v>#DIV/0!</v>
      </c>
      <c r="AO8" s="4" t="str">
        <f t="shared" si="30"/>
        <v>QUESTÃO 7</v>
      </c>
      <c r="AP8" s="5" t="e">
        <f t="shared" si="31"/>
        <v>#DIV/0!</v>
      </c>
      <c r="AQ8" s="6" t="e">
        <f t="shared" si="32"/>
        <v>#DIV/0!</v>
      </c>
    </row>
    <row r="9" spans="1:43" x14ac:dyDescent="0.25">
      <c r="A9" s="4" t="str">
        <f t="shared" si="0"/>
        <v>QUESTÃO 8</v>
      </c>
      <c r="B9" s="5" t="e">
        <f t="shared" si="1"/>
        <v>#DIV/0!</v>
      </c>
      <c r="C9" s="6" t="e">
        <f t="shared" si="2"/>
        <v>#DIV/0!</v>
      </c>
      <c r="E9" s="4" t="str">
        <f t="shared" si="3"/>
        <v>QUESTÃO 8</v>
      </c>
      <c r="F9" s="5" t="e">
        <f t="shared" si="4"/>
        <v>#DIV/0!</v>
      </c>
      <c r="G9" s="6" t="e">
        <f t="shared" si="5"/>
        <v>#DIV/0!</v>
      </c>
      <c r="I9" s="4" t="str">
        <f t="shared" si="6"/>
        <v>QUESTÃO 8</v>
      </c>
      <c r="J9" s="5" t="e">
        <f t="shared" si="7"/>
        <v>#DIV/0!</v>
      </c>
      <c r="K9" s="6" t="e">
        <f t="shared" si="8"/>
        <v>#DIV/0!</v>
      </c>
      <c r="M9" s="4" t="str">
        <f t="shared" si="9"/>
        <v>QUESTÃO 8</v>
      </c>
      <c r="N9" s="5" t="e">
        <f t="shared" si="10"/>
        <v>#DIV/0!</v>
      </c>
      <c r="O9" s="6" t="e">
        <f t="shared" si="11"/>
        <v>#DIV/0!</v>
      </c>
      <c r="Q9" s="4" t="str">
        <f t="shared" si="12"/>
        <v>QUESTÃO 8</v>
      </c>
      <c r="R9" s="5">
        <f t="shared" si="13"/>
        <v>0.63157894736842102</v>
      </c>
      <c r="S9" s="6">
        <f t="shared" si="14"/>
        <v>0.36842105263157898</v>
      </c>
      <c r="U9" s="4" t="str">
        <f t="shared" si="15"/>
        <v>QUESTÃO 8</v>
      </c>
      <c r="V9" s="5">
        <f t="shared" si="16"/>
        <v>0.47368421052631576</v>
      </c>
      <c r="W9" s="6">
        <f t="shared" si="17"/>
        <v>0.52631578947368429</v>
      </c>
      <c r="Y9" s="4" t="str">
        <f t="shared" si="18"/>
        <v>QUESTÃO 8</v>
      </c>
      <c r="Z9" s="5">
        <f t="shared" si="19"/>
        <v>0.1176470588235294</v>
      </c>
      <c r="AA9" s="6">
        <f t="shared" si="20"/>
        <v>0.88235294117647056</v>
      </c>
      <c r="AC9" s="4" t="str">
        <f t="shared" si="21"/>
        <v>QUESTÃO 8</v>
      </c>
      <c r="AD9" s="5">
        <f t="shared" si="22"/>
        <v>0.47368421052631576</v>
      </c>
      <c r="AE9" s="6">
        <f t="shared" si="23"/>
        <v>0.52631578947368429</v>
      </c>
      <c r="AG9" s="4" t="str">
        <f t="shared" si="24"/>
        <v>QUESTÃO 8</v>
      </c>
      <c r="AH9" s="5" t="e">
        <f t="shared" si="25"/>
        <v>#DIV/0!</v>
      </c>
      <c r="AI9" s="6" t="e">
        <f t="shared" si="26"/>
        <v>#DIV/0!</v>
      </c>
      <c r="AK9" s="4" t="str">
        <f t="shared" si="27"/>
        <v>QUESTÃO 8</v>
      </c>
      <c r="AL9" s="5" t="e">
        <f t="shared" si="28"/>
        <v>#DIV/0!</v>
      </c>
      <c r="AM9" s="6" t="e">
        <f t="shared" si="29"/>
        <v>#DIV/0!</v>
      </c>
      <c r="AO9" s="4" t="str">
        <f t="shared" si="30"/>
        <v>QUESTÃO 8</v>
      </c>
      <c r="AP9" s="5" t="e">
        <f t="shared" si="31"/>
        <v>#DIV/0!</v>
      </c>
      <c r="AQ9" s="6" t="e">
        <f t="shared" si="32"/>
        <v>#DIV/0!</v>
      </c>
    </row>
    <row r="10" spans="1:43" x14ac:dyDescent="0.25">
      <c r="A10" s="4" t="str">
        <f t="shared" si="0"/>
        <v>QUESTÃO 9</v>
      </c>
      <c r="B10" s="5" t="e">
        <f t="shared" si="1"/>
        <v>#DIV/0!</v>
      </c>
      <c r="C10" s="6" t="e">
        <f t="shared" si="2"/>
        <v>#DIV/0!</v>
      </c>
      <c r="E10" s="4" t="str">
        <f t="shared" si="3"/>
        <v>QUESTÃO 9</v>
      </c>
      <c r="F10" s="5" t="e">
        <f t="shared" si="4"/>
        <v>#DIV/0!</v>
      </c>
      <c r="G10" s="6" t="e">
        <f t="shared" si="5"/>
        <v>#DIV/0!</v>
      </c>
      <c r="I10" s="4" t="str">
        <f t="shared" si="6"/>
        <v>QUESTÃO 9</v>
      </c>
      <c r="J10" s="5" t="e">
        <f t="shared" si="7"/>
        <v>#DIV/0!</v>
      </c>
      <c r="K10" s="6" t="e">
        <f t="shared" si="8"/>
        <v>#DIV/0!</v>
      </c>
      <c r="M10" s="4" t="str">
        <f t="shared" si="9"/>
        <v>QUESTÃO 9</v>
      </c>
      <c r="N10" s="5" t="e">
        <f t="shared" si="10"/>
        <v>#DIV/0!</v>
      </c>
      <c r="O10" s="6" t="e">
        <f t="shared" si="11"/>
        <v>#DIV/0!</v>
      </c>
      <c r="Q10" s="4" t="str">
        <f t="shared" si="12"/>
        <v>QUESTÃO 9</v>
      </c>
      <c r="R10" s="5">
        <f t="shared" si="13"/>
        <v>0.84210526315789469</v>
      </c>
      <c r="S10" s="6">
        <f t="shared" si="14"/>
        <v>0.15789473684210531</v>
      </c>
      <c r="U10" s="4" t="str">
        <f t="shared" si="15"/>
        <v>QUESTÃO 9</v>
      </c>
      <c r="V10" s="5">
        <f t="shared" si="16"/>
        <v>0.89473684210526316</v>
      </c>
      <c r="W10" s="6">
        <f t="shared" si="17"/>
        <v>0.10526315789473684</v>
      </c>
      <c r="Y10" s="4" t="str">
        <f t="shared" si="18"/>
        <v>QUESTÃO 9</v>
      </c>
      <c r="Z10" s="5">
        <f t="shared" si="19"/>
        <v>0.58823529411764708</v>
      </c>
      <c r="AA10" s="6">
        <f t="shared" si="20"/>
        <v>0.41176470588235292</v>
      </c>
      <c r="AC10" s="4" t="str">
        <f t="shared" si="21"/>
        <v>QUESTÃO 9</v>
      </c>
      <c r="AD10" s="5">
        <f t="shared" si="22"/>
        <v>0.52631578947368418</v>
      </c>
      <c r="AE10" s="6">
        <f t="shared" si="23"/>
        <v>0.47368421052631582</v>
      </c>
      <c r="AG10" s="4" t="str">
        <f t="shared" si="24"/>
        <v>QUESTÃO 9</v>
      </c>
      <c r="AH10" s="5" t="e">
        <f t="shared" si="25"/>
        <v>#DIV/0!</v>
      </c>
      <c r="AI10" s="6" t="e">
        <f t="shared" si="26"/>
        <v>#DIV/0!</v>
      </c>
      <c r="AK10" s="4" t="str">
        <f t="shared" si="27"/>
        <v>QUESTÃO 9</v>
      </c>
      <c r="AL10" s="5" t="e">
        <f t="shared" si="28"/>
        <v>#DIV/0!</v>
      </c>
      <c r="AM10" s="6" t="e">
        <f t="shared" si="29"/>
        <v>#DIV/0!</v>
      </c>
      <c r="AO10" s="4" t="str">
        <f t="shared" si="30"/>
        <v>QUESTÃO 9</v>
      </c>
      <c r="AP10" s="5" t="e">
        <f t="shared" si="31"/>
        <v>#DIV/0!</v>
      </c>
      <c r="AQ10" s="6" t="e">
        <f t="shared" si="32"/>
        <v>#DIV/0!</v>
      </c>
    </row>
    <row r="11" spans="1:43" x14ac:dyDescent="0.25">
      <c r="A11" s="4" t="str">
        <f t="shared" si="0"/>
        <v>QUESTÃO 10</v>
      </c>
      <c r="B11" s="5" t="e">
        <f t="shared" si="1"/>
        <v>#DIV/0!</v>
      </c>
      <c r="C11" s="6" t="e">
        <f t="shared" si="2"/>
        <v>#DIV/0!</v>
      </c>
      <c r="E11" s="4" t="str">
        <f t="shared" si="3"/>
        <v>QUESTÃO 10</v>
      </c>
      <c r="F11" s="5" t="e">
        <f t="shared" si="4"/>
        <v>#DIV/0!</v>
      </c>
      <c r="G11" s="6" t="e">
        <f t="shared" si="5"/>
        <v>#DIV/0!</v>
      </c>
      <c r="I11" s="4" t="str">
        <f t="shared" si="6"/>
        <v>QUESTÃO 10</v>
      </c>
      <c r="J11" s="5" t="e">
        <f t="shared" si="7"/>
        <v>#DIV/0!</v>
      </c>
      <c r="K11" s="6" t="e">
        <f t="shared" si="8"/>
        <v>#DIV/0!</v>
      </c>
      <c r="M11" s="4" t="str">
        <f t="shared" si="9"/>
        <v>QUESTÃO 10</v>
      </c>
      <c r="N11" s="5" t="e">
        <f t="shared" si="10"/>
        <v>#DIV/0!</v>
      </c>
      <c r="O11" s="6" t="e">
        <f t="shared" si="11"/>
        <v>#DIV/0!</v>
      </c>
      <c r="Q11" s="4" t="str">
        <f t="shared" si="12"/>
        <v>QUESTÃO 10</v>
      </c>
      <c r="R11" s="5">
        <f t="shared" si="13"/>
        <v>0.84210526315789469</v>
      </c>
      <c r="S11" s="6">
        <f t="shared" si="14"/>
        <v>0.15789473684210531</v>
      </c>
      <c r="U11" s="4" t="str">
        <f t="shared" si="15"/>
        <v>QUESTÃO 10</v>
      </c>
      <c r="V11" s="5">
        <f t="shared" si="16"/>
        <v>0.73684210526315785</v>
      </c>
      <c r="W11" s="6">
        <f t="shared" si="17"/>
        <v>0.26315789473684215</v>
      </c>
      <c r="Y11" s="4" t="str">
        <f t="shared" si="18"/>
        <v>QUESTÃO 10</v>
      </c>
      <c r="Z11" s="5">
        <f t="shared" si="19"/>
        <v>0.70588235294117652</v>
      </c>
      <c r="AA11" s="6">
        <f t="shared" si="20"/>
        <v>0.29411764705882348</v>
      </c>
      <c r="AC11" s="4" t="str">
        <f t="shared" si="21"/>
        <v>QUESTÃO 10</v>
      </c>
      <c r="AD11" s="5">
        <f t="shared" si="22"/>
        <v>0.73684210526315785</v>
      </c>
      <c r="AE11" s="6">
        <f t="shared" si="23"/>
        <v>0.26315789473684215</v>
      </c>
      <c r="AG11" s="4" t="str">
        <f t="shared" si="24"/>
        <v>QUESTÃO 10</v>
      </c>
      <c r="AH11" s="5" t="e">
        <f t="shared" si="25"/>
        <v>#DIV/0!</v>
      </c>
      <c r="AI11" s="6" t="e">
        <f t="shared" si="26"/>
        <v>#DIV/0!</v>
      </c>
      <c r="AK11" s="4" t="str">
        <f t="shared" si="27"/>
        <v>QUESTÃO 10</v>
      </c>
      <c r="AL11" s="5" t="e">
        <f t="shared" si="28"/>
        <v>#DIV/0!</v>
      </c>
      <c r="AM11" s="6" t="e">
        <f t="shared" si="29"/>
        <v>#DIV/0!</v>
      </c>
      <c r="AO11" s="4" t="str">
        <f t="shared" si="30"/>
        <v>QUESTÃO 10</v>
      </c>
      <c r="AP11" s="5" t="e">
        <f t="shared" si="31"/>
        <v>#DIV/0!</v>
      </c>
      <c r="AQ11" s="6" t="e">
        <f t="shared" si="32"/>
        <v>#DIV/0!</v>
      </c>
    </row>
    <row r="12" spans="1:43" x14ac:dyDescent="0.25">
      <c r="A12" s="4" t="str">
        <f t="shared" si="0"/>
        <v>QUESTÃO 11</v>
      </c>
      <c r="B12" s="5" t="e">
        <f t="shared" si="1"/>
        <v>#DIV/0!</v>
      </c>
      <c r="C12" s="6" t="e">
        <f t="shared" si="2"/>
        <v>#DIV/0!</v>
      </c>
      <c r="E12" s="4" t="str">
        <f t="shared" si="3"/>
        <v>QUESTÃO 11</v>
      </c>
      <c r="F12" s="5" t="e">
        <f t="shared" si="4"/>
        <v>#DIV/0!</v>
      </c>
      <c r="G12" s="6" t="e">
        <f t="shared" si="5"/>
        <v>#DIV/0!</v>
      </c>
      <c r="I12" s="4" t="str">
        <f t="shared" si="6"/>
        <v>QUESTÃO 11</v>
      </c>
      <c r="J12" s="5" t="e">
        <f t="shared" si="7"/>
        <v>#DIV/0!</v>
      </c>
      <c r="K12" s="6" t="e">
        <f t="shared" si="8"/>
        <v>#DIV/0!</v>
      </c>
      <c r="M12" s="4" t="str">
        <f t="shared" si="9"/>
        <v>QUESTÃO 11</v>
      </c>
      <c r="N12" s="5" t="e">
        <f t="shared" si="10"/>
        <v>#DIV/0!</v>
      </c>
      <c r="O12" s="6" t="e">
        <f t="shared" si="11"/>
        <v>#DIV/0!</v>
      </c>
      <c r="Q12" s="4" t="str">
        <f t="shared" si="12"/>
        <v>QUESTÃO 11</v>
      </c>
      <c r="R12" s="5">
        <f t="shared" si="13"/>
        <v>0</v>
      </c>
      <c r="S12" s="6">
        <f t="shared" si="14"/>
        <v>1</v>
      </c>
      <c r="U12" s="4" t="str">
        <f t="shared" si="15"/>
        <v>QUESTÃO 11</v>
      </c>
      <c r="V12" s="5">
        <f t="shared" si="16"/>
        <v>0</v>
      </c>
      <c r="W12" s="6">
        <f t="shared" si="17"/>
        <v>1</v>
      </c>
      <c r="Y12" s="4" t="str">
        <f t="shared" si="18"/>
        <v>QUESTÃO 11</v>
      </c>
      <c r="Z12" s="5">
        <f t="shared" si="19"/>
        <v>0</v>
      </c>
      <c r="AA12" s="6">
        <f t="shared" si="20"/>
        <v>1</v>
      </c>
      <c r="AC12" s="4" t="str">
        <f t="shared" si="21"/>
        <v>QUESTÃO 11</v>
      </c>
      <c r="AD12" s="5">
        <f t="shared" si="22"/>
        <v>0</v>
      </c>
      <c r="AE12" s="6">
        <f t="shared" si="23"/>
        <v>1</v>
      </c>
      <c r="AG12" s="4" t="str">
        <f t="shared" si="24"/>
        <v>QUESTÃO 11</v>
      </c>
      <c r="AH12" s="5" t="e">
        <f t="shared" si="25"/>
        <v>#DIV/0!</v>
      </c>
      <c r="AI12" s="6" t="e">
        <f t="shared" si="26"/>
        <v>#DIV/0!</v>
      </c>
      <c r="AK12" s="4" t="str">
        <f t="shared" si="27"/>
        <v>QUESTÃO 11</v>
      </c>
      <c r="AL12" s="5" t="e">
        <f t="shared" si="28"/>
        <v>#DIV/0!</v>
      </c>
      <c r="AM12" s="6" t="e">
        <f t="shared" si="29"/>
        <v>#DIV/0!</v>
      </c>
      <c r="AO12" s="4" t="str">
        <f t="shared" si="30"/>
        <v>QUESTÃO 11</v>
      </c>
      <c r="AP12" s="5" t="e">
        <f t="shared" si="31"/>
        <v>#DIV/0!</v>
      </c>
      <c r="AQ12" s="6" t="e">
        <f t="shared" si="32"/>
        <v>#DIV/0!</v>
      </c>
    </row>
    <row r="13" spans="1:43" x14ac:dyDescent="0.25">
      <c r="A13" s="4" t="str">
        <f t="shared" si="0"/>
        <v>QUESTÃO 12</v>
      </c>
      <c r="B13" s="5" t="e">
        <f t="shared" si="1"/>
        <v>#DIV/0!</v>
      </c>
      <c r="C13" s="6" t="e">
        <f t="shared" si="2"/>
        <v>#DIV/0!</v>
      </c>
      <c r="E13" s="4" t="str">
        <f t="shared" si="3"/>
        <v>QUESTÃO 12</v>
      </c>
      <c r="F13" s="5" t="e">
        <f t="shared" si="4"/>
        <v>#DIV/0!</v>
      </c>
      <c r="G13" s="6" t="e">
        <f t="shared" si="5"/>
        <v>#DIV/0!</v>
      </c>
      <c r="I13" s="4" t="str">
        <f t="shared" si="6"/>
        <v>QUESTÃO 12</v>
      </c>
      <c r="J13" s="5" t="e">
        <f t="shared" si="7"/>
        <v>#DIV/0!</v>
      </c>
      <c r="K13" s="6" t="e">
        <f t="shared" si="8"/>
        <v>#DIV/0!</v>
      </c>
      <c r="M13" s="4" t="str">
        <f t="shared" si="9"/>
        <v>QUESTÃO 12</v>
      </c>
      <c r="N13" s="5" t="e">
        <f t="shared" si="10"/>
        <v>#DIV/0!</v>
      </c>
      <c r="O13" s="6" t="e">
        <f t="shared" si="11"/>
        <v>#DIV/0!</v>
      </c>
      <c r="Q13" s="4" t="str">
        <f t="shared" si="12"/>
        <v>QUESTÃO 12</v>
      </c>
      <c r="R13" s="5">
        <f t="shared" si="13"/>
        <v>0</v>
      </c>
      <c r="S13" s="6">
        <f t="shared" si="14"/>
        <v>1</v>
      </c>
      <c r="U13" s="4" t="str">
        <f t="shared" si="15"/>
        <v>QUESTÃO 12</v>
      </c>
      <c r="V13" s="5">
        <f t="shared" si="16"/>
        <v>0</v>
      </c>
      <c r="W13" s="6">
        <f t="shared" si="17"/>
        <v>1</v>
      </c>
      <c r="Y13" s="4" t="str">
        <f t="shared" si="18"/>
        <v>QUESTÃO 12</v>
      </c>
      <c r="Z13" s="5">
        <f t="shared" si="19"/>
        <v>0</v>
      </c>
      <c r="AA13" s="6">
        <f t="shared" si="20"/>
        <v>1</v>
      </c>
      <c r="AC13" s="4" t="str">
        <f t="shared" si="21"/>
        <v>QUESTÃO 12</v>
      </c>
      <c r="AD13" s="5">
        <f t="shared" si="22"/>
        <v>0</v>
      </c>
      <c r="AE13" s="6">
        <f t="shared" si="23"/>
        <v>1</v>
      </c>
      <c r="AG13" s="4" t="str">
        <f t="shared" si="24"/>
        <v>QUESTÃO 12</v>
      </c>
      <c r="AH13" s="5" t="e">
        <f t="shared" si="25"/>
        <v>#DIV/0!</v>
      </c>
      <c r="AI13" s="6" t="e">
        <f t="shared" si="26"/>
        <v>#DIV/0!</v>
      </c>
      <c r="AK13" s="4" t="str">
        <f t="shared" si="27"/>
        <v>QUESTÃO 12</v>
      </c>
      <c r="AL13" s="5" t="e">
        <f t="shared" si="28"/>
        <v>#DIV/0!</v>
      </c>
      <c r="AM13" s="6" t="e">
        <f t="shared" si="29"/>
        <v>#DIV/0!</v>
      </c>
      <c r="AO13" s="4" t="str">
        <f t="shared" si="30"/>
        <v>QUESTÃO 12</v>
      </c>
      <c r="AP13" s="5" t="e">
        <f t="shared" si="31"/>
        <v>#DIV/0!</v>
      </c>
      <c r="AQ13" s="6" t="e">
        <f t="shared" si="32"/>
        <v>#DIV/0!</v>
      </c>
    </row>
    <row r="14" spans="1:43" x14ac:dyDescent="0.25">
      <c r="A14" s="4" t="str">
        <f t="shared" si="0"/>
        <v>QUESTÃO 13</v>
      </c>
      <c r="B14" s="5" t="e">
        <f t="shared" si="1"/>
        <v>#DIV/0!</v>
      </c>
      <c r="C14" s="6" t="e">
        <f t="shared" si="2"/>
        <v>#DIV/0!</v>
      </c>
      <c r="E14" s="4" t="str">
        <f t="shared" si="3"/>
        <v>QUESTÃO 13</v>
      </c>
      <c r="F14" s="5" t="e">
        <f t="shared" si="4"/>
        <v>#DIV/0!</v>
      </c>
      <c r="G14" s="6" t="e">
        <f t="shared" si="5"/>
        <v>#DIV/0!</v>
      </c>
      <c r="I14" s="4" t="str">
        <f t="shared" si="6"/>
        <v>QUESTÃO 13</v>
      </c>
      <c r="J14" s="5" t="e">
        <f t="shared" si="7"/>
        <v>#DIV/0!</v>
      </c>
      <c r="K14" s="6" t="e">
        <f t="shared" si="8"/>
        <v>#DIV/0!</v>
      </c>
      <c r="M14" s="4" t="str">
        <f t="shared" si="9"/>
        <v>QUESTÃO 13</v>
      </c>
      <c r="N14" s="5" t="e">
        <f t="shared" si="10"/>
        <v>#DIV/0!</v>
      </c>
      <c r="O14" s="6" t="e">
        <f t="shared" si="11"/>
        <v>#DIV/0!</v>
      </c>
      <c r="Q14" s="4" t="str">
        <f t="shared" si="12"/>
        <v>QUESTÃO 13</v>
      </c>
      <c r="R14" s="5">
        <f t="shared" si="13"/>
        <v>0</v>
      </c>
      <c r="S14" s="6">
        <f t="shared" si="14"/>
        <v>1</v>
      </c>
      <c r="U14" s="4" t="str">
        <f t="shared" si="15"/>
        <v>QUESTÃO 13</v>
      </c>
      <c r="V14" s="5">
        <f t="shared" si="16"/>
        <v>0</v>
      </c>
      <c r="W14" s="6">
        <f t="shared" si="17"/>
        <v>1</v>
      </c>
      <c r="Y14" s="4" t="str">
        <f t="shared" si="18"/>
        <v>QUESTÃO 13</v>
      </c>
      <c r="Z14" s="5">
        <f t="shared" si="19"/>
        <v>0</v>
      </c>
      <c r="AA14" s="6">
        <f t="shared" si="20"/>
        <v>1</v>
      </c>
      <c r="AC14" s="4" t="str">
        <f t="shared" si="21"/>
        <v>QUESTÃO 13</v>
      </c>
      <c r="AD14" s="5">
        <f t="shared" si="22"/>
        <v>0</v>
      </c>
      <c r="AE14" s="6">
        <f t="shared" si="23"/>
        <v>1</v>
      </c>
      <c r="AG14" s="4" t="str">
        <f t="shared" si="24"/>
        <v>QUESTÃO 13</v>
      </c>
      <c r="AH14" s="5" t="e">
        <f t="shared" si="25"/>
        <v>#DIV/0!</v>
      </c>
      <c r="AI14" s="6" t="e">
        <f t="shared" si="26"/>
        <v>#DIV/0!</v>
      </c>
      <c r="AK14" s="4" t="str">
        <f t="shared" si="27"/>
        <v>QUESTÃO 13</v>
      </c>
      <c r="AL14" s="5" t="e">
        <f t="shared" si="28"/>
        <v>#DIV/0!</v>
      </c>
      <c r="AM14" s="6" t="e">
        <f t="shared" si="29"/>
        <v>#DIV/0!</v>
      </c>
      <c r="AO14" s="4" t="str">
        <f t="shared" si="30"/>
        <v>QUESTÃO 13</v>
      </c>
      <c r="AP14" s="5" t="e">
        <f t="shared" si="31"/>
        <v>#DIV/0!</v>
      </c>
      <c r="AQ14" s="6" t="e">
        <f t="shared" si="32"/>
        <v>#DIV/0!</v>
      </c>
    </row>
    <row r="15" spans="1:43" x14ac:dyDescent="0.25">
      <c r="A15" s="4" t="str">
        <f t="shared" si="0"/>
        <v>QUESTÃO 14</v>
      </c>
      <c r="B15" s="5" t="e">
        <f t="shared" si="1"/>
        <v>#DIV/0!</v>
      </c>
      <c r="C15" s="6" t="e">
        <f t="shared" si="2"/>
        <v>#DIV/0!</v>
      </c>
      <c r="E15" s="4" t="str">
        <f t="shared" si="3"/>
        <v>QUESTÃO 14</v>
      </c>
      <c r="F15" s="5" t="e">
        <f t="shared" si="4"/>
        <v>#DIV/0!</v>
      </c>
      <c r="G15" s="6" t="e">
        <f t="shared" si="5"/>
        <v>#DIV/0!</v>
      </c>
      <c r="I15" s="4" t="str">
        <f t="shared" si="6"/>
        <v>QUESTÃO 14</v>
      </c>
      <c r="J15" s="5" t="e">
        <f t="shared" si="7"/>
        <v>#DIV/0!</v>
      </c>
      <c r="K15" s="6" t="e">
        <f t="shared" si="8"/>
        <v>#DIV/0!</v>
      </c>
      <c r="M15" s="4" t="str">
        <f t="shared" si="9"/>
        <v>QUESTÃO 14</v>
      </c>
      <c r="N15" s="5" t="e">
        <f t="shared" si="10"/>
        <v>#DIV/0!</v>
      </c>
      <c r="O15" s="6" t="e">
        <f t="shared" si="11"/>
        <v>#DIV/0!</v>
      </c>
      <c r="Q15" s="4" t="str">
        <f t="shared" si="12"/>
        <v>QUESTÃO 14</v>
      </c>
      <c r="R15" s="5">
        <f t="shared" si="13"/>
        <v>0</v>
      </c>
      <c r="S15" s="6">
        <f t="shared" si="14"/>
        <v>1</v>
      </c>
      <c r="U15" s="4" t="str">
        <f t="shared" si="15"/>
        <v>QUESTÃO 14</v>
      </c>
      <c r="V15" s="5">
        <f t="shared" si="16"/>
        <v>0</v>
      </c>
      <c r="W15" s="6">
        <f t="shared" si="17"/>
        <v>1</v>
      </c>
      <c r="Y15" s="4" t="str">
        <f t="shared" si="18"/>
        <v>QUESTÃO 14</v>
      </c>
      <c r="Z15" s="5">
        <f t="shared" si="19"/>
        <v>0</v>
      </c>
      <c r="AA15" s="6">
        <f t="shared" si="20"/>
        <v>1</v>
      </c>
      <c r="AC15" s="4" t="str">
        <f t="shared" si="21"/>
        <v>QUESTÃO 14</v>
      </c>
      <c r="AD15" s="5">
        <f t="shared" si="22"/>
        <v>0</v>
      </c>
      <c r="AE15" s="6">
        <f t="shared" si="23"/>
        <v>1</v>
      </c>
      <c r="AG15" s="4" t="str">
        <f t="shared" si="24"/>
        <v>QUESTÃO 14</v>
      </c>
      <c r="AH15" s="5" t="e">
        <f t="shared" si="25"/>
        <v>#DIV/0!</v>
      </c>
      <c r="AI15" s="6" t="e">
        <f t="shared" si="26"/>
        <v>#DIV/0!</v>
      </c>
      <c r="AK15" s="4" t="str">
        <f t="shared" si="27"/>
        <v>QUESTÃO 14</v>
      </c>
      <c r="AL15" s="5" t="e">
        <f t="shared" si="28"/>
        <v>#DIV/0!</v>
      </c>
      <c r="AM15" s="6" t="e">
        <f t="shared" si="29"/>
        <v>#DIV/0!</v>
      </c>
      <c r="AO15" s="4" t="str">
        <f t="shared" si="30"/>
        <v>QUESTÃO 14</v>
      </c>
      <c r="AP15" s="5" t="e">
        <f t="shared" si="31"/>
        <v>#DIV/0!</v>
      </c>
      <c r="AQ15" s="6" t="e">
        <f t="shared" si="32"/>
        <v>#DIV/0!</v>
      </c>
    </row>
    <row r="16" spans="1:43" x14ac:dyDescent="0.25">
      <c r="A16" s="4" t="str">
        <f t="shared" si="0"/>
        <v>QUESTÃO 15</v>
      </c>
      <c r="B16" s="5" t="e">
        <f t="shared" si="1"/>
        <v>#DIV/0!</v>
      </c>
      <c r="C16" s="6" t="e">
        <f t="shared" si="2"/>
        <v>#DIV/0!</v>
      </c>
      <c r="E16" s="4" t="str">
        <f t="shared" si="3"/>
        <v>QUESTÃO 15</v>
      </c>
      <c r="F16" s="5" t="e">
        <f t="shared" si="4"/>
        <v>#DIV/0!</v>
      </c>
      <c r="G16" s="6" t="e">
        <f t="shared" si="5"/>
        <v>#DIV/0!</v>
      </c>
      <c r="I16" s="4" t="str">
        <f t="shared" si="6"/>
        <v>QUESTÃO 15</v>
      </c>
      <c r="J16" s="5" t="e">
        <f t="shared" si="7"/>
        <v>#DIV/0!</v>
      </c>
      <c r="K16" s="6" t="e">
        <f t="shared" si="8"/>
        <v>#DIV/0!</v>
      </c>
      <c r="M16" s="4" t="str">
        <f t="shared" si="9"/>
        <v>QUESTÃO 15</v>
      </c>
      <c r="N16" s="5" t="e">
        <f t="shared" si="10"/>
        <v>#DIV/0!</v>
      </c>
      <c r="O16" s="6" t="e">
        <f t="shared" si="11"/>
        <v>#DIV/0!</v>
      </c>
      <c r="Q16" s="4" t="str">
        <f t="shared" si="12"/>
        <v>QUESTÃO 15</v>
      </c>
      <c r="R16" s="5">
        <f t="shared" si="13"/>
        <v>0</v>
      </c>
      <c r="S16" s="6">
        <f t="shared" si="14"/>
        <v>1</v>
      </c>
      <c r="U16" s="4" t="str">
        <f t="shared" si="15"/>
        <v>QUESTÃO 15</v>
      </c>
      <c r="V16" s="5">
        <f t="shared" si="16"/>
        <v>0</v>
      </c>
      <c r="W16" s="6">
        <f t="shared" si="17"/>
        <v>1</v>
      </c>
      <c r="Y16" s="4" t="str">
        <f t="shared" si="18"/>
        <v>QUESTÃO 15</v>
      </c>
      <c r="Z16" s="5">
        <f t="shared" si="19"/>
        <v>0</v>
      </c>
      <c r="AA16" s="6">
        <f t="shared" si="20"/>
        <v>1</v>
      </c>
      <c r="AC16" s="4" t="str">
        <f t="shared" si="21"/>
        <v>QUESTÃO 15</v>
      </c>
      <c r="AD16" s="5">
        <f t="shared" si="22"/>
        <v>0</v>
      </c>
      <c r="AE16" s="6">
        <f t="shared" si="23"/>
        <v>1</v>
      </c>
      <c r="AG16" s="4" t="str">
        <f t="shared" si="24"/>
        <v>QUESTÃO 15</v>
      </c>
      <c r="AH16" s="5" t="e">
        <f t="shared" si="25"/>
        <v>#DIV/0!</v>
      </c>
      <c r="AI16" s="6" t="e">
        <f t="shared" si="26"/>
        <v>#DIV/0!</v>
      </c>
      <c r="AK16" s="4" t="str">
        <f t="shared" si="27"/>
        <v>QUESTÃO 15</v>
      </c>
      <c r="AL16" s="5" t="e">
        <f t="shared" si="28"/>
        <v>#DIV/0!</v>
      </c>
      <c r="AM16" s="6" t="e">
        <f t="shared" si="29"/>
        <v>#DIV/0!</v>
      </c>
      <c r="AO16" s="4" t="str">
        <f t="shared" si="30"/>
        <v>QUESTÃO 15</v>
      </c>
      <c r="AP16" s="5" t="e">
        <f t="shared" si="31"/>
        <v>#DIV/0!</v>
      </c>
      <c r="AQ16" s="6" t="e">
        <f t="shared" si="32"/>
        <v>#DIV/0!</v>
      </c>
    </row>
    <row r="17" spans="1:43" x14ac:dyDescent="0.25">
      <c r="A17" s="4" t="str">
        <f t="shared" si="0"/>
        <v>QUESTÃO 16</v>
      </c>
      <c r="B17" s="5" t="e">
        <f t="shared" si="1"/>
        <v>#DIV/0!</v>
      </c>
      <c r="C17" s="6" t="e">
        <f t="shared" si="2"/>
        <v>#DIV/0!</v>
      </c>
      <c r="E17" s="4" t="str">
        <f t="shared" si="3"/>
        <v>QUESTÃO 16</v>
      </c>
      <c r="F17" s="5" t="e">
        <f t="shared" si="4"/>
        <v>#DIV/0!</v>
      </c>
      <c r="G17" s="6" t="e">
        <f t="shared" si="5"/>
        <v>#DIV/0!</v>
      </c>
      <c r="I17" s="4" t="str">
        <f t="shared" si="6"/>
        <v>QUESTÃO 16</v>
      </c>
      <c r="J17" s="5" t="e">
        <f t="shared" si="7"/>
        <v>#DIV/0!</v>
      </c>
      <c r="K17" s="6" t="e">
        <f t="shared" si="8"/>
        <v>#DIV/0!</v>
      </c>
      <c r="M17" s="4" t="str">
        <f t="shared" si="9"/>
        <v>QUESTÃO 16</v>
      </c>
      <c r="N17" s="5" t="e">
        <f t="shared" si="10"/>
        <v>#DIV/0!</v>
      </c>
      <c r="O17" s="6" t="e">
        <f t="shared" si="11"/>
        <v>#DIV/0!</v>
      </c>
      <c r="Q17" s="4" t="str">
        <f t="shared" si="12"/>
        <v>QUESTÃO 16</v>
      </c>
      <c r="R17" s="5">
        <f t="shared" si="13"/>
        <v>0</v>
      </c>
      <c r="S17" s="6">
        <f t="shared" si="14"/>
        <v>1</v>
      </c>
      <c r="U17" s="4" t="str">
        <f t="shared" si="15"/>
        <v>QUESTÃO 16</v>
      </c>
      <c r="V17" s="5">
        <f t="shared" si="16"/>
        <v>0</v>
      </c>
      <c r="W17" s="6">
        <f t="shared" si="17"/>
        <v>1</v>
      </c>
      <c r="Y17" s="4" t="str">
        <f t="shared" si="18"/>
        <v>QUESTÃO 16</v>
      </c>
      <c r="Z17" s="5">
        <f t="shared" si="19"/>
        <v>0</v>
      </c>
      <c r="AA17" s="6">
        <f t="shared" si="20"/>
        <v>1</v>
      </c>
      <c r="AC17" s="4" t="str">
        <f t="shared" si="21"/>
        <v>QUESTÃO 16</v>
      </c>
      <c r="AD17" s="5">
        <f t="shared" si="22"/>
        <v>0</v>
      </c>
      <c r="AE17" s="6">
        <f t="shared" si="23"/>
        <v>1</v>
      </c>
      <c r="AG17" s="4" t="str">
        <f t="shared" si="24"/>
        <v>QUESTÃO 16</v>
      </c>
      <c r="AH17" s="5" t="e">
        <f t="shared" si="25"/>
        <v>#DIV/0!</v>
      </c>
      <c r="AI17" s="6" t="e">
        <f t="shared" si="26"/>
        <v>#DIV/0!</v>
      </c>
      <c r="AK17" s="4" t="str">
        <f t="shared" si="27"/>
        <v>QUESTÃO 16</v>
      </c>
      <c r="AL17" s="5" t="e">
        <f t="shared" si="28"/>
        <v>#DIV/0!</v>
      </c>
      <c r="AM17" s="6" t="e">
        <f t="shared" si="29"/>
        <v>#DIV/0!</v>
      </c>
      <c r="AO17" s="4" t="str">
        <f t="shared" si="30"/>
        <v>QUESTÃO 16</v>
      </c>
      <c r="AP17" s="5" t="e">
        <f t="shared" si="31"/>
        <v>#DIV/0!</v>
      </c>
      <c r="AQ17" s="6" t="e">
        <f t="shared" si="32"/>
        <v>#DIV/0!</v>
      </c>
    </row>
    <row r="18" spans="1:43" x14ac:dyDescent="0.25">
      <c r="A18" s="4" t="str">
        <f t="shared" si="0"/>
        <v>QUESTÃO 17</v>
      </c>
      <c r="B18" s="5" t="e">
        <f t="shared" si="1"/>
        <v>#DIV/0!</v>
      </c>
      <c r="C18" s="6" t="e">
        <f t="shared" si="2"/>
        <v>#DIV/0!</v>
      </c>
      <c r="E18" s="4" t="str">
        <f t="shared" si="3"/>
        <v>QUESTÃO 17</v>
      </c>
      <c r="F18" s="5" t="e">
        <f t="shared" si="4"/>
        <v>#DIV/0!</v>
      </c>
      <c r="G18" s="6" t="e">
        <f t="shared" si="5"/>
        <v>#DIV/0!</v>
      </c>
      <c r="I18" s="4" t="str">
        <f t="shared" si="6"/>
        <v>QUESTÃO 17</v>
      </c>
      <c r="J18" s="5" t="e">
        <f t="shared" si="7"/>
        <v>#DIV/0!</v>
      </c>
      <c r="K18" s="6" t="e">
        <f t="shared" si="8"/>
        <v>#DIV/0!</v>
      </c>
      <c r="M18" s="4" t="str">
        <f t="shared" si="9"/>
        <v>QUESTÃO 17</v>
      </c>
      <c r="N18" s="5" t="e">
        <f t="shared" si="10"/>
        <v>#DIV/0!</v>
      </c>
      <c r="O18" s="6" t="e">
        <f t="shared" si="11"/>
        <v>#DIV/0!</v>
      </c>
      <c r="Q18" s="4" t="str">
        <f t="shared" si="12"/>
        <v>QUESTÃO 17</v>
      </c>
      <c r="R18" s="5">
        <f t="shared" si="13"/>
        <v>0</v>
      </c>
      <c r="S18" s="6">
        <f t="shared" si="14"/>
        <v>1</v>
      </c>
      <c r="U18" s="4" t="str">
        <f t="shared" si="15"/>
        <v>QUESTÃO 17</v>
      </c>
      <c r="V18" s="5">
        <f t="shared" si="16"/>
        <v>0</v>
      </c>
      <c r="W18" s="6">
        <f t="shared" si="17"/>
        <v>1</v>
      </c>
      <c r="Y18" s="4" t="str">
        <f t="shared" si="18"/>
        <v>QUESTÃO 17</v>
      </c>
      <c r="Z18" s="5">
        <f t="shared" si="19"/>
        <v>0</v>
      </c>
      <c r="AA18" s="6">
        <f t="shared" si="20"/>
        <v>1</v>
      </c>
      <c r="AC18" s="4" t="str">
        <f t="shared" si="21"/>
        <v>QUESTÃO 17</v>
      </c>
      <c r="AD18" s="5">
        <f t="shared" si="22"/>
        <v>0</v>
      </c>
      <c r="AE18" s="6">
        <f t="shared" si="23"/>
        <v>1</v>
      </c>
      <c r="AG18" s="4" t="str">
        <f t="shared" si="24"/>
        <v>QUESTÃO 17</v>
      </c>
      <c r="AH18" s="5" t="e">
        <f t="shared" si="25"/>
        <v>#DIV/0!</v>
      </c>
      <c r="AI18" s="6" t="e">
        <f t="shared" si="26"/>
        <v>#DIV/0!</v>
      </c>
      <c r="AK18" s="4" t="str">
        <f t="shared" si="27"/>
        <v>QUESTÃO 17</v>
      </c>
      <c r="AL18" s="5" t="e">
        <f t="shared" si="28"/>
        <v>#DIV/0!</v>
      </c>
      <c r="AM18" s="6" t="e">
        <f t="shared" si="29"/>
        <v>#DIV/0!</v>
      </c>
      <c r="AO18" s="4" t="str">
        <f t="shared" si="30"/>
        <v>QUESTÃO 17</v>
      </c>
      <c r="AP18" s="5" t="e">
        <f t="shared" si="31"/>
        <v>#DIV/0!</v>
      </c>
      <c r="AQ18" s="6" t="e">
        <f t="shared" si="32"/>
        <v>#DIV/0!</v>
      </c>
    </row>
    <row r="19" spans="1:43" x14ac:dyDescent="0.25">
      <c r="A19" s="4" t="str">
        <f t="shared" si="0"/>
        <v>QUESTÃO 18</v>
      </c>
      <c r="B19" s="5" t="e">
        <f t="shared" si="1"/>
        <v>#DIV/0!</v>
      </c>
      <c r="C19" s="6" t="e">
        <f t="shared" si="2"/>
        <v>#DIV/0!</v>
      </c>
      <c r="E19" s="4" t="str">
        <f t="shared" si="3"/>
        <v>QUESTÃO 18</v>
      </c>
      <c r="F19" s="5" t="e">
        <f t="shared" si="4"/>
        <v>#DIV/0!</v>
      </c>
      <c r="G19" s="6" t="e">
        <f t="shared" si="5"/>
        <v>#DIV/0!</v>
      </c>
      <c r="I19" s="4" t="str">
        <f t="shared" si="6"/>
        <v>QUESTÃO 18</v>
      </c>
      <c r="J19" s="5" t="e">
        <f t="shared" si="7"/>
        <v>#DIV/0!</v>
      </c>
      <c r="K19" s="6" t="e">
        <f t="shared" si="8"/>
        <v>#DIV/0!</v>
      </c>
      <c r="M19" s="4" t="str">
        <f t="shared" si="9"/>
        <v>QUESTÃO 18</v>
      </c>
      <c r="N19" s="5" t="e">
        <f t="shared" si="10"/>
        <v>#DIV/0!</v>
      </c>
      <c r="O19" s="6" t="e">
        <f t="shared" si="11"/>
        <v>#DIV/0!</v>
      </c>
      <c r="Q19" s="4" t="str">
        <f t="shared" si="12"/>
        <v>QUESTÃO 18</v>
      </c>
      <c r="R19" s="5">
        <f t="shared" si="13"/>
        <v>0</v>
      </c>
      <c r="S19" s="6">
        <f t="shared" si="14"/>
        <v>1</v>
      </c>
      <c r="U19" s="4" t="str">
        <f t="shared" si="15"/>
        <v>QUESTÃO 18</v>
      </c>
      <c r="V19" s="5">
        <f t="shared" si="16"/>
        <v>0</v>
      </c>
      <c r="W19" s="6">
        <f t="shared" si="17"/>
        <v>1</v>
      </c>
      <c r="Y19" s="4" t="str">
        <f t="shared" si="18"/>
        <v>QUESTÃO 18</v>
      </c>
      <c r="Z19" s="5">
        <f t="shared" si="19"/>
        <v>0</v>
      </c>
      <c r="AA19" s="6">
        <f t="shared" si="20"/>
        <v>1</v>
      </c>
      <c r="AC19" s="4" t="str">
        <f t="shared" si="21"/>
        <v>QUESTÃO 18</v>
      </c>
      <c r="AD19" s="5">
        <f t="shared" si="22"/>
        <v>0</v>
      </c>
      <c r="AE19" s="6">
        <f t="shared" si="23"/>
        <v>1</v>
      </c>
      <c r="AG19" s="4" t="str">
        <f t="shared" si="24"/>
        <v>QUESTÃO 18</v>
      </c>
      <c r="AH19" s="5" t="e">
        <f t="shared" si="25"/>
        <v>#DIV/0!</v>
      </c>
      <c r="AI19" s="6" t="e">
        <f t="shared" si="26"/>
        <v>#DIV/0!</v>
      </c>
      <c r="AK19" s="4" t="str">
        <f t="shared" si="27"/>
        <v>QUESTÃO 18</v>
      </c>
      <c r="AL19" s="5" t="e">
        <f t="shared" si="28"/>
        <v>#DIV/0!</v>
      </c>
      <c r="AM19" s="6" t="e">
        <f t="shared" si="29"/>
        <v>#DIV/0!</v>
      </c>
      <c r="AO19" s="4" t="str">
        <f t="shared" si="30"/>
        <v>QUESTÃO 18</v>
      </c>
      <c r="AP19" s="5" t="e">
        <f t="shared" si="31"/>
        <v>#DIV/0!</v>
      </c>
      <c r="AQ19" s="6" t="e">
        <f t="shared" si="32"/>
        <v>#DIV/0!</v>
      </c>
    </row>
    <row r="20" spans="1:43" x14ac:dyDescent="0.25">
      <c r="A20" s="4" t="str">
        <f t="shared" si="0"/>
        <v>QUESTÃO 19</v>
      </c>
      <c r="B20" s="5" t="e">
        <f t="shared" si="1"/>
        <v>#DIV/0!</v>
      </c>
      <c r="C20" s="6" t="e">
        <f t="shared" si="2"/>
        <v>#DIV/0!</v>
      </c>
      <c r="E20" s="4" t="str">
        <f t="shared" si="3"/>
        <v>QUESTÃO 19</v>
      </c>
      <c r="F20" s="5" t="e">
        <f t="shared" si="4"/>
        <v>#DIV/0!</v>
      </c>
      <c r="G20" s="6" t="e">
        <f t="shared" si="5"/>
        <v>#DIV/0!</v>
      </c>
      <c r="I20" s="4" t="str">
        <f t="shared" si="6"/>
        <v>QUESTÃO 19</v>
      </c>
      <c r="J20" s="5" t="e">
        <f t="shared" si="7"/>
        <v>#DIV/0!</v>
      </c>
      <c r="K20" s="6" t="e">
        <f t="shared" si="8"/>
        <v>#DIV/0!</v>
      </c>
      <c r="M20" s="4" t="str">
        <f t="shared" si="9"/>
        <v>QUESTÃO 19</v>
      </c>
      <c r="N20" s="5" t="e">
        <f t="shared" si="10"/>
        <v>#DIV/0!</v>
      </c>
      <c r="O20" s="6" t="e">
        <f t="shared" si="11"/>
        <v>#DIV/0!</v>
      </c>
      <c r="Q20" s="4" t="str">
        <f t="shared" si="12"/>
        <v>QUESTÃO 19</v>
      </c>
      <c r="R20" s="5">
        <f t="shared" si="13"/>
        <v>0</v>
      </c>
      <c r="S20" s="6">
        <f t="shared" si="14"/>
        <v>1</v>
      </c>
      <c r="U20" s="4" t="str">
        <f t="shared" si="15"/>
        <v>QUESTÃO 19</v>
      </c>
      <c r="V20" s="5">
        <f t="shared" si="16"/>
        <v>0</v>
      </c>
      <c r="W20" s="6">
        <f t="shared" si="17"/>
        <v>1</v>
      </c>
      <c r="Y20" s="4" t="str">
        <f t="shared" si="18"/>
        <v>QUESTÃO 19</v>
      </c>
      <c r="Z20" s="5">
        <f t="shared" si="19"/>
        <v>0</v>
      </c>
      <c r="AA20" s="6">
        <f t="shared" si="20"/>
        <v>1</v>
      </c>
      <c r="AC20" s="4" t="str">
        <f t="shared" si="21"/>
        <v>QUESTÃO 19</v>
      </c>
      <c r="AD20" s="5">
        <f t="shared" si="22"/>
        <v>0</v>
      </c>
      <c r="AE20" s="6">
        <f t="shared" si="23"/>
        <v>1</v>
      </c>
      <c r="AG20" s="4" t="str">
        <f t="shared" si="24"/>
        <v>QUESTÃO 19</v>
      </c>
      <c r="AH20" s="5" t="e">
        <f t="shared" si="25"/>
        <v>#DIV/0!</v>
      </c>
      <c r="AI20" s="6" t="e">
        <f t="shared" si="26"/>
        <v>#DIV/0!</v>
      </c>
      <c r="AK20" s="4" t="str">
        <f t="shared" si="27"/>
        <v>QUESTÃO 19</v>
      </c>
      <c r="AL20" s="5" t="e">
        <f t="shared" si="28"/>
        <v>#DIV/0!</v>
      </c>
      <c r="AM20" s="6" t="e">
        <f t="shared" si="29"/>
        <v>#DIV/0!</v>
      </c>
      <c r="AO20" s="4" t="str">
        <f t="shared" si="30"/>
        <v>QUESTÃO 19</v>
      </c>
      <c r="AP20" s="5" t="e">
        <f t="shared" si="31"/>
        <v>#DIV/0!</v>
      </c>
      <c r="AQ20" s="6" t="e">
        <f t="shared" si="32"/>
        <v>#DIV/0!</v>
      </c>
    </row>
    <row r="21" spans="1:43" x14ac:dyDescent="0.25">
      <c r="A21" s="4" t="str">
        <f t="shared" si="0"/>
        <v>QUESTÃO 20</v>
      </c>
      <c r="B21" s="5" t="e">
        <f t="shared" si="1"/>
        <v>#DIV/0!</v>
      </c>
      <c r="C21" s="6" t="e">
        <f t="shared" si="2"/>
        <v>#DIV/0!</v>
      </c>
      <c r="E21" s="4" t="str">
        <f t="shared" si="3"/>
        <v>QUESTÃO 20</v>
      </c>
      <c r="F21" s="5" t="e">
        <f t="shared" si="4"/>
        <v>#DIV/0!</v>
      </c>
      <c r="G21" s="6" t="e">
        <f t="shared" si="5"/>
        <v>#DIV/0!</v>
      </c>
      <c r="I21" s="4" t="str">
        <f t="shared" si="6"/>
        <v>QUESTÃO 20</v>
      </c>
      <c r="J21" s="5" t="e">
        <f t="shared" si="7"/>
        <v>#DIV/0!</v>
      </c>
      <c r="K21" s="6" t="e">
        <f t="shared" si="8"/>
        <v>#DIV/0!</v>
      </c>
      <c r="M21" s="4" t="str">
        <f t="shared" si="9"/>
        <v>QUESTÃO 20</v>
      </c>
      <c r="N21" s="5" t="e">
        <f t="shared" si="10"/>
        <v>#DIV/0!</v>
      </c>
      <c r="O21" s="6" t="e">
        <f t="shared" si="11"/>
        <v>#DIV/0!</v>
      </c>
      <c r="Q21" s="4" t="str">
        <f t="shared" si="12"/>
        <v>QUESTÃO 20</v>
      </c>
      <c r="R21" s="5">
        <f t="shared" si="13"/>
        <v>0</v>
      </c>
      <c r="S21" s="6">
        <f t="shared" si="14"/>
        <v>1</v>
      </c>
      <c r="U21" s="4" t="str">
        <f t="shared" si="15"/>
        <v>QUESTÃO 20</v>
      </c>
      <c r="V21" s="5">
        <f t="shared" si="16"/>
        <v>0</v>
      </c>
      <c r="W21" s="6">
        <f t="shared" si="17"/>
        <v>1</v>
      </c>
      <c r="Y21" s="4" t="str">
        <f t="shared" si="18"/>
        <v>QUESTÃO 20</v>
      </c>
      <c r="Z21" s="5">
        <f t="shared" si="19"/>
        <v>0</v>
      </c>
      <c r="AA21" s="6">
        <f t="shared" si="20"/>
        <v>1</v>
      </c>
      <c r="AC21" s="4" t="str">
        <f t="shared" si="21"/>
        <v>QUESTÃO 20</v>
      </c>
      <c r="AD21" s="5">
        <f t="shared" si="22"/>
        <v>0</v>
      </c>
      <c r="AE21" s="6">
        <f t="shared" si="23"/>
        <v>1</v>
      </c>
      <c r="AG21" s="4" t="str">
        <f t="shared" si="24"/>
        <v>QUESTÃO 20</v>
      </c>
      <c r="AH21" s="5" t="e">
        <f t="shared" si="25"/>
        <v>#DIV/0!</v>
      </c>
      <c r="AI21" s="6" t="e">
        <f t="shared" si="26"/>
        <v>#DIV/0!</v>
      </c>
      <c r="AK21" s="4" t="str">
        <f t="shared" si="27"/>
        <v>QUESTÃO 20</v>
      </c>
      <c r="AL21" s="5" t="e">
        <f t="shared" si="28"/>
        <v>#DIV/0!</v>
      </c>
      <c r="AM21" s="6" t="e">
        <f t="shared" si="29"/>
        <v>#DIV/0!</v>
      </c>
      <c r="AO21" s="4" t="str">
        <f t="shared" si="30"/>
        <v>QUESTÃO 20</v>
      </c>
      <c r="AP21" s="5" t="e">
        <f t="shared" si="31"/>
        <v>#DIV/0!</v>
      </c>
      <c r="AQ21" s="6" t="e">
        <f t="shared" si="32"/>
        <v>#DIV/0!</v>
      </c>
    </row>
    <row r="22" spans="1:43" ht="15.75" thickBot="1" x14ac:dyDescent="0.3">
      <c r="B22" s="11"/>
      <c r="C22" s="11"/>
      <c r="F22" s="11"/>
      <c r="G22" s="11"/>
      <c r="J22" s="11"/>
      <c r="K22" s="11"/>
      <c r="N22" s="11"/>
      <c r="O22" s="11"/>
      <c r="R22" s="11"/>
      <c r="S22" s="11"/>
    </row>
    <row r="23" spans="1:43" ht="15.75" thickBot="1" x14ac:dyDescent="0.3">
      <c r="A23" s="58" t="s">
        <v>12</v>
      </c>
      <c r="B23" s="59"/>
      <c r="C23" s="60"/>
      <c r="E23" s="58" t="s">
        <v>12</v>
      </c>
      <c r="F23" s="59"/>
      <c r="G23" s="60"/>
      <c r="H23" s="12"/>
      <c r="I23" s="58" t="s">
        <v>12</v>
      </c>
      <c r="J23" s="59"/>
      <c r="K23" s="60"/>
      <c r="M23" s="58" t="s">
        <v>12</v>
      </c>
      <c r="N23" s="59"/>
      <c r="O23" s="60"/>
      <c r="Q23" s="58" t="s">
        <v>12</v>
      </c>
      <c r="R23" s="59"/>
      <c r="S23" s="60"/>
      <c r="U23" s="58" t="s">
        <v>12</v>
      </c>
      <c r="V23" s="59"/>
      <c r="W23" s="60"/>
      <c r="Y23" s="58" t="s">
        <v>12</v>
      </c>
      <c r="Z23" s="59"/>
      <c r="AA23" s="60"/>
      <c r="AC23" s="58" t="s">
        <v>12</v>
      </c>
      <c r="AD23" s="59"/>
      <c r="AE23" s="60"/>
      <c r="AG23" s="58" t="s">
        <v>12</v>
      </c>
      <c r="AH23" s="59"/>
      <c r="AI23" s="60"/>
      <c r="AK23" s="58" t="s">
        <v>12</v>
      </c>
      <c r="AL23" s="59"/>
      <c r="AM23" s="60"/>
      <c r="AO23" s="58" t="s">
        <v>12</v>
      </c>
      <c r="AP23" s="59"/>
      <c r="AQ23" s="60"/>
    </row>
    <row r="24" spans="1:43" ht="15.75" customHeight="1" thickBot="1" x14ac:dyDescent="0.3">
      <c r="A24" s="14" t="str">
        <f>$A47</f>
        <v>QUESTÃO 1</v>
      </c>
      <c r="B24" s="25"/>
      <c r="C24" s="67"/>
      <c r="D24" s="9"/>
      <c r="E24" s="14" t="str">
        <f>$A47</f>
        <v>QUESTÃO 1</v>
      </c>
      <c r="F24" s="25"/>
      <c r="G24" s="47"/>
      <c r="H24" s="13"/>
      <c r="I24" s="14" t="str">
        <f>$A47</f>
        <v>QUESTÃO 1</v>
      </c>
      <c r="J24" s="25"/>
      <c r="K24" s="47"/>
      <c r="L24" s="9"/>
      <c r="M24" s="14" t="str">
        <f>$A47</f>
        <v>QUESTÃO 1</v>
      </c>
      <c r="N24" s="25"/>
      <c r="O24" s="47"/>
      <c r="P24" s="9"/>
      <c r="Q24" s="14" t="str">
        <f>$A47</f>
        <v>QUESTÃO 1</v>
      </c>
      <c r="R24" s="25">
        <v>16</v>
      </c>
      <c r="S24" s="47"/>
      <c r="U24" s="14" t="str">
        <f>$A47</f>
        <v>QUESTÃO 1</v>
      </c>
      <c r="V24" s="29">
        <v>15</v>
      </c>
      <c r="W24" s="55"/>
      <c r="Y24" s="14" t="str">
        <f>$A47</f>
        <v>QUESTÃO 1</v>
      </c>
      <c r="Z24" s="25">
        <v>14</v>
      </c>
      <c r="AA24" s="55"/>
      <c r="AC24" s="14" t="str">
        <f>$A47</f>
        <v>QUESTÃO 1</v>
      </c>
      <c r="AD24" s="29">
        <v>11</v>
      </c>
      <c r="AE24" s="55"/>
      <c r="AG24" s="14" t="str">
        <f>$A47</f>
        <v>QUESTÃO 1</v>
      </c>
      <c r="AH24" s="29"/>
      <c r="AI24" s="55"/>
      <c r="AK24" s="14" t="str">
        <f>$A47</f>
        <v>QUESTÃO 1</v>
      </c>
      <c r="AL24" s="29"/>
      <c r="AM24" s="55"/>
      <c r="AO24" s="14" t="str">
        <f>$A47</f>
        <v>QUESTÃO 1</v>
      </c>
      <c r="AP24" s="29"/>
      <c r="AQ24" s="55"/>
    </row>
    <row r="25" spans="1:43" ht="15.75" thickBot="1" x14ac:dyDescent="0.3">
      <c r="A25" s="14" t="str">
        <f t="shared" ref="A25:A43" si="33">$A48</f>
        <v>QUESTÃO 2</v>
      </c>
      <c r="B25" s="26"/>
      <c r="C25" s="68"/>
      <c r="D25" s="9"/>
      <c r="E25" s="14" t="str">
        <f t="shared" ref="E25:E43" si="34">$A48</f>
        <v>QUESTÃO 2</v>
      </c>
      <c r="F25" s="26"/>
      <c r="G25" s="48"/>
      <c r="H25" s="9"/>
      <c r="I25" s="14" t="str">
        <f t="shared" ref="I25:I43" si="35">$A48</f>
        <v>QUESTÃO 2</v>
      </c>
      <c r="J25" s="26"/>
      <c r="K25" s="48"/>
      <c r="L25" s="9"/>
      <c r="M25" s="14" t="str">
        <f t="shared" ref="M25:M43" si="36">$A48</f>
        <v>QUESTÃO 2</v>
      </c>
      <c r="N25" s="26"/>
      <c r="O25" s="48"/>
      <c r="P25" s="9"/>
      <c r="Q25" s="14" t="str">
        <f t="shared" ref="Q25:Q43" si="37">$A48</f>
        <v>QUESTÃO 2</v>
      </c>
      <c r="R25" s="26">
        <v>14</v>
      </c>
      <c r="S25" s="48"/>
      <c r="U25" s="14" t="str">
        <f t="shared" ref="U25:U43" si="38">$A48</f>
        <v>QUESTÃO 2</v>
      </c>
      <c r="V25" s="14">
        <v>6</v>
      </c>
      <c r="W25" s="56"/>
      <c r="Y25" s="14" t="str">
        <f t="shared" ref="Y25:Y43" si="39">$A48</f>
        <v>QUESTÃO 2</v>
      </c>
      <c r="Z25" s="26">
        <v>9</v>
      </c>
      <c r="AA25" s="56"/>
      <c r="AC25" s="14" t="str">
        <f t="shared" ref="AC25:AC43" si="40">$A48</f>
        <v>QUESTÃO 2</v>
      </c>
      <c r="AD25" s="14">
        <v>10</v>
      </c>
      <c r="AE25" s="56"/>
      <c r="AG25" s="14" t="str">
        <f t="shared" ref="AG25:AG43" si="41">$A48</f>
        <v>QUESTÃO 2</v>
      </c>
      <c r="AH25" s="14"/>
      <c r="AI25" s="56"/>
      <c r="AK25" s="14" t="str">
        <f t="shared" ref="AK25:AK43" si="42">$A48</f>
        <v>QUESTÃO 2</v>
      </c>
      <c r="AL25" s="14"/>
      <c r="AM25" s="56"/>
      <c r="AO25" s="14" t="str">
        <f t="shared" ref="AO25:AO43" si="43">$A48</f>
        <v>QUESTÃO 2</v>
      </c>
      <c r="AP25" s="14"/>
      <c r="AQ25" s="56"/>
    </row>
    <row r="26" spans="1:43" ht="15.75" thickBot="1" x14ac:dyDescent="0.3">
      <c r="A26" s="14" t="str">
        <f t="shared" si="33"/>
        <v>QUESTÃO 3</v>
      </c>
      <c r="B26" s="26"/>
      <c r="C26" s="68"/>
      <c r="D26" s="9"/>
      <c r="E26" s="14" t="str">
        <f t="shared" si="34"/>
        <v>QUESTÃO 3</v>
      </c>
      <c r="F26" s="26"/>
      <c r="G26" s="48"/>
      <c r="H26" s="9"/>
      <c r="I26" s="14" t="str">
        <f t="shared" si="35"/>
        <v>QUESTÃO 3</v>
      </c>
      <c r="J26" s="26"/>
      <c r="K26" s="48"/>
      <c r="L26" s="9"/>
      <c r="M26" s="14" t="str">
        <f t="shared" si="36"/>
        <v>QUESTÃO 3</v>
      </c>
      <c r="N26" s="26"/>
      <c r="O26" s="48"/>
      <c r="P26" s="9"/>
      <c r="Q26" s="14" t="str">
        <f t="shared" si="37"/>
        <v>QUESTÃO 3</v>
      </c>
      <c r="R26" s="26">
        <v>12</v>
      </c>
      <c r="S26" s="48"/>
      <c r="U26" s="14" t="str">
        <f t="shared" si="38"/>
        <v>QUESTÃO 3</v>
      </c>
      <c r="V26" s="14">
        <v>3</v>
      </c>
      <c r="W26" s="56"/>
      <c r="Y26" s="14" t="str">
        <f t="shared" si="39"/>
        <v>QUESTÃO 3</v>
      </c>
      <c r="Z26" s="26">
        <v>5</v>
      </c>
      <c r="AA26" s="56"/>
      <c r="AC26" s="14" t="str">
        <f t="shared" si="40"/>
        <v>QUESTÃO 3</v>
      </c>
      <c r="AD26" s="14">
        <v>9</v>
      </c>
      <c r="AE26" s="56"/>
      <c r="AG26" s="14" t="str">
        <f t="shared" si="41"/>
        <v>QUESTÃO 3</v>
      </c>
      <c r="AH26" s="14"/>
      <c r="AI26" s="56"/>
      <c r="AK26" s="14" t="str">
        <f t="shared" si="42"/>
        <v>QUESTÃO 3</v>
      </c>
      <c r="AL26" s="14"/>
      <c r="AM26" s="56"/>
      <c r="AO26" s="14" t="str">
        <f t="shared" si="43"/>
        <v>QUESTÃO 3</v>
      </c>
      <c r="AP26" s="14"/>
      <c r="AQ26" s="56"/>
    </row>
    <row r="27" spans="1:43" ht="15.75" thickBot="1" x14ac:dyDescent="0.3">
      <c r="A27" s="14" t="str">
        <f t="shared" si="33"/>
        <v>QUESTÃO 4</v>
      </c>
      <c r="B27" s="26"/>
      <c r="C27" s="68"/>
      <c r="D27" s="9"/>
      <c r="E27" s="14" t="str">
        <f t="shared" si="34"/>
        <v>QUESTÃO 4</v>
      </c>
      <c r="F27" s="26"/>
      <c r="G27" s="48"/>
      <c r="H27" s="9"/>
      <c r="I27" s="14" t="str">
        <f t="shared" si="35"/>
        <v>QUESTÃO 4</v>
      </c>
      <c r="J27" s="26"/>
      <c r="K27" s="48"/>
      <c r="L27" s="9"/>
      <c r="M27" s="14" t="str">
        <f t="shared" si="36"/>
        <v>QUESTÃO 4</v>
      </c>
      <c r="N27" s="26"/>
      <c r="O27" s="48"/>
      <c r="P27" s="9"/>
      <c r="Q27" s="14" t="str">
        <f t="shared" si="37"/>
        <v>QUESTÃO 4</v>
      </c>
      <c r="R27" s="26">
        <v>13</v>
      </c>
      <c r="S27" s="48"/>
      <c r="U27" s="14" t="str">
        <f t="shared" si="38"/>
        <v>QUESTÃO 4</v>
      </c>
      <c r="V27" s="14">
        <v>9</v>
      </c>
      <c r="W27" s="56"/>
      <c r="Y27" s="14" t="str">
        <f t="shared" si="39"/>
        <v>QUESTÃO 4</v>
      </c>
      <c r="Z27" s="26">
        <v>8</v>
      </c>
      <c r="AA27" s="56"/>
      <c r="AC27" s="14" t="str">
        <f t="shared" si="40"/>
        <v>QUESTÃO 4</v>
      </c>
      <c r="AD27" s="14">
        <v>12</v>
      </c>
      <c r="AE27" s="56"/>
      <c r="AG27" s="14" t="str">
        <f t="shared" si="41"/>
        <v>QUESTÃO 4</v>
      </c>
      <c r="AH27" s="14"/>
      <c r="AI27" s="56"/>
      <c r="AK27" s="14" t="str">
        <f t="shared" si="42"/>
        <v>QUESTÃO 4</v>
      </c>
      <c r="AL27" s="14"/>
      <c r="AM27" s="56"/>
      <c r="AO27" s="14" t="str">
        <f t="shared" si="43"/>
        <v>QUESTÃO 4</v>
      </c>
      <c r="AP27" s="14"/>
      <c r="AQ27" s="56"/>
    </row>
    <row r="28" spans="1:43" ht="15.75" thickBot="1" x14ac:dyDescent="0.3">
      <c r="A28" s="14" t="str">
        <f t="shared" si="33"/>
        <v>QUESTÃO 5</v>
      </c>
      <c r="B28" s="26"/>
      <c r="C28" s="68"/>
      <c r="D28" s="9"/>
      <c r="E28" s="14" t="str">
        <f t="shared" si="34"/>
        <v>QUESTÃO 5</v>
      </c>
      <c r="F28" s="26"/>
      <c r="G28" s="48"/>
      <c r="H28" s="9"/>
      <c r="I28" s="14" t="str">
        <f t="shared" si="35"/>
        <v>QUESTÃO 5</v>
      </c>
      <c r="J28" s="26"/>
      <c r="K28" s="48"/>
      <c r="L28" s="9"/>
      <c r="M28" s="14" t="str">
        <f t="shared" si="36"/>
        <v>QUESTÃO 5</v>
      </c>
      <c r="N28" s="26"/>
      <c r="O28" s="48"/>
      <c r="P28" s="9"/>
      <c r="Q28" s="14" t="str">
        <f t="shared" si="37"/>
        <v>QUESTÃO 5</v>
      </c>
      <c r="R28" s="26">
        <v>11</v>
      </c>
      <c r="S28" s="48"/>
      <c r="U28" s="14" t="str">
        <f t="shared" si="38"/>
        <v>QUESTÃO 5</v>
      </c>
      <c r="V28" s="14">
        <v>11</v>
      </c>
      <c r="W28" s="56"/>
      <c r="Y28" s="14" t="str">
        <f t="shared" si="39"/>
        <v>QUESTÃO 5</v>
      </c>
      <c r="Z28" s="26">
        <v>7</v>
      </c>
      <c r="AA28" s="56"/>
      <c r="AC28" s="14" t="str">
        <f t="shared" si="40"/>
        <v>QUESTÃO 5</v>
      </c>
      <c r="AD28" s="14">
        <v>11</v>
      </c>
      <c r="AE28" s="56"/>
      <c r="AG28" s="14" t="str">
        <f t="shared" si="41"/>
        <v>QUESTÃO 5</v>
      </c>
      <c r="AH28" s="14"/>
      <c r="AI28" s="56"/>
      <c r="AK28" s="14" t="str">
        <f t="shared" si="42"/>
        <v>QUESTÃO 5</v>
      </c>
      <c r="AL28" s="14"/>
      <c r="AM28" s="56"/>
      <c r="AO28" s="14" t="str">
        <f t="shared" si="43"/>
        <v>QUESTÃO 5</v>
      </c>
      <c r="AP28" s="14"/>
      <c r="AQ28" s="56"/>
    </row>
    <row r="29" spans="1:43" ht="15.75" thickBot="1" x14ac:dyDescent="0.3">
      <c r="A29" s="14" t="str">
        <f t="shared" si="33"/>
        <v>QUESTÃO 6</v>
      </c>
      <c r="B29" s="26"/>
      <c r="C29" s="68"/>
      <c r="D29" s="9"/>
      <c r="E29" s="14" t="str">
        <f t="shared" si="34"/>
        <v>QUESTÃO 6</v>
      </c>
      <c r="F29" s="26"/>
      <c r="G29" s="48"/>
      <c r="H29" s="9"/>
      <c r="I29" s="14" t="str">
        <f t="shared" si="35"/>
        <v>QUESTÃO 6</v>
      </c>
      <c r="J29" s="26"/>
      <c r="K29" s="48"/>
      <c r="L29" s="9"/>
      <c r="M29" s="14" t="str">
        <f t="shared" si="36"/>
        <v>QUESTÃO 6</v>
      </c>
      <c r="N29" s="26"/>
      <c r="O29" s="48"/>
      <c r="P29" s="9"/>
      <c r="Q29" s="14" t="str">
        <f t="shared" si="37"/>
        <v>QUESTÃO 6</v>
      </c>
      <c r="R29" s="26">
        <v>16</v>
      </c>
      <c r="S29" s="48"/>
      <c r="U29" s="14" t="str">
        <f t="shared" si="38"/>
        <v>QUESTÃO 6</v>
      </c>
      <c r="V29" s="14">
        <v>11</v>
      </c>
      <c r="W29" s="56"/>
      <c r="Y29" s="14" t="str">
        <f t="shared" si="39"/>
        <v>QUESTÃO 6</v>
      </c>
      <c r="Z29" s="26">
        <v>11</v>
      </c>
      <c r="AA29" s="56"/>
      <c r="AC29" s="14" t="str">
        <f t="shared" si="40"/>
        <v>QUESTÃO 6</v>
      </c>
      <c r="AD29" s="14">
        <v>15</v>
      </c>
      <c r="AE29" s="56"/>
      <c r="AG29" s="14" t="str">
        <f t="shared" si="41"/>
        <v>QUESTÃO 6</v>
      </c>
      <c r="AH29" s="14"/>
      <c r="AI29" s="56"/>
      <c r="AK29" s="14" t="str">
        <f t="shared" si="42"/>
        <v>QUESTÃO 6</v>
      </c>
      <c r="AL29" s="14"/>
      <c r="AM29" s="56"/>
      <c r="AO29" s="14" t="str">
        <f t="shared" si="43"/>
        <v>QUESTÃO 6</v>
      </c>
      <c r="AP29" s="14"/>
      <c r="AQ29" s="56"/>
    </row>
    <row r="30" spans="1:43" ht="15.75" thickBot="1" x14ac:dyDescent="0.3">
      <c r="A30" s="14" t="str">
        <f t="shared" si="33"/>
        <v>QUESTÃO 7</v>
      </c>
      <c r="B30" s="26"/>
      <c r="C30" s="68"/>
      <c r="D30" s="9"/>
      <c r="E30" s="14" t="str">
        <f t="shared" si="34"/>
        <v>QUESTÃO 7</v>
      </c>
      <c r="F30" s="26"/>
      <c r="G30" s="48"/>
      <c r="H30" s="9"/>
      <c r="I30" s="14" t="str">
        <f t="shared" si="35"/>
        <v>QUESTÃO 7</v>
      </c>
      <c r="J30" s="26"/>
      <c r="K30" s="48"/>
      <c r="L30" s="9"/>
      <c r="M30" s="14" t="str">
        <f t="shared" si="36"/>
        <v>QUESTÃO 7</v>
      </c>
      <c r="N30" s="26"/>
      <c r="O30" s="48"/>
      <c r="P30" s="9"/>
      <c r="Q30" s="14" t="str">
        <f t="shared" si="37"/>
        <v>QUESTÃO 7</v>
      </c>
      <c r="R30" s="26">
        <v>14</v>
      </c>
      <c r="S30" s="48"/>
      <c r="U30" s="14" t="str">
        <f t="shared" si="38"/>
        <v>QUESTÃO 7</v>
      </c>
      <c r="V30" s="28">
        <v>9</v>
      </c>
      <c r="W30" s="56"/>
      <c r="Y30" s="14" t="str">
        <f t="shared" si="39"/>
        <v>QUESTÃO 7</v>
      </c>
      <c r="Z30" s="26">
        <v>8</v>
      </c>
      <c r="AA30" s="56"/>
      <c r="AC30" s="14" t="str">
        <f t="shared" si="40"/>
        <v>QUESTÃO 7</v>
      </c>
      <c r="AD30" s="28">
        <v>7</v>
      </c>
      <c r="AE30" s="56"/>
      <c r="AG30" s="14" t="str">
        <f t="shared" si="41"/>
        <v>QUESTÃO 7</v>
      </c>
      <c r="AH30" s="28"/>
      <c r="AI30" s="56"/>
      <c r="AK30" s="14" t="str">
        <f t="shared" si="42"/>
        <v>QUESTÃO 7</v>
      </c>
      <c r="AL30" s="28"/>
      <c r="AM30" s="56"/>
      <c r="AO30" s="14" t="str">
        <f t="shared" si="43"/>
        <v>QUESTÃO 7</v>
      </c>
      <c r="AP30" s="28"/>
      <c r="AQ30" s="56"/>
    </row>
    <row r="31" spans="1:43" ht="15.75" thickBot="1" x14ac:dyDescent="0.3">
      <c r="A31" s="14" t="str">
        <f t="shared" si="33"/>
        <v>QUESTÃO 8</v>
      </c>
      <c r="B31" s="26"/>
      <c r="C31" s="68"/>
      <c r="D31" s="9"/>
      <c r="E31" s="14" t="str">
        <f t="shared" si="34"/>
        <v>QUESTÃO 8</v>
      </c>
      <c r="F31" s="26"/>
      <c r="G31" s="48"/>
      <c r="H31" s="9"/>
      <c r="I31" s="14" t="str">
        <f t="shared" si="35"/>
        <v>QUESTÃO 8</v>
      </c>
      <c r="J31" s="26"/>
      <c r="K31" s="48"/>
      <c r="L31" s="9"/>
      <c r="M31" s="14" t="str">
        <f t="shared" si="36"/>
        <v>QUESTÃO 8</v>
      </c>
      <c r="N31" s="26"/>
      <c r="O31" s="48"/>
      <c r="P31" s="9"/>
      <c r="Q31" s="14" t="str">
        <f t="shared" si="37"/>
        <v>QUESTÃO 8</v>
      </c>
      <c r="R31" s="26">
        <v>12</v>
      </c>
      <c r="S31" s="48"/>
      <c r="U31" s="14" t="str">
        <f t="shared" si="38"/>
        <v>QUESTÃO 8</v>
      </c>
      <c r="V31" s="14">
        <v>9</v>
      </c>
      <c r="W31" s="56"/>
      <c r="Y31" s="14" t="str">
        <f t="shared" si="39"/>
        <v>QUESTÃO 8</v>
      </c>
      <c r="Z31" s="26">
        <v>2</v>
      </c>
      <c r="AA31" s="56"/>
      <c r="AC31" s="14" t="str">
        <f t="shared" si="40"/>
        <v>QUESTÃO 8</v>
      </c>
      <c r="AD31" s="14">
        <v>9</v>
      </c>
      <c r="AE31" s="56"/>
      <c r="AG31" s="14" t="str">
        <f t="shared" si="41"/>
        <v>QUESTÃO 8</v>
      </c>
      <c r="AH31" s="14"/>
      <c r="AI31" s="56"/>
      <c r="AK31" s="14" t="str">
        <f t="shared" si="42"/>
        <v>QUESTÃO 8</v>
      </c>
      <c r="AL31" s="14"/>
      <c r="AM31" s="56"/>
      <c r="AO31" s="14" t="str">
        <f t="shared" si="43"/>
        <v>QUESTÃO 8</v>
      </c>
      <c r="AP31" s="14"/>
      <c r="AQ31" s="56"/>
    </row>
    <row r="32" spans="1:43" ht="15.75" thickBot="1" x14ac:dyDescent="0.3">
      <c r="A32" s="14" t="str">
        <f t="shared" si="33"/>
        <v>QUESTÃO 9</v>
      </c>
      <c r="B32" s="26"/>
      <c r="C32" s="68"/>
      <c r="D32" s="9"/>
      <c r="E32" s="14" t="str">
        <f t="shared" si="34"/>
        <v>QUESTÃO 9</v>
      </c>
      <c r="F32" s="26"/>
      <c r="G32" s="48"/>
      <c r="H32" s="9"/>
      <c r="I32" s="14" t="str">
        <f t="shared" si="35"/>
        <v>QUESTÃO 9</v>
      </c>
      <c r="J32" s="26"/>
      <c r="K32" s="48"/>
      <c r="L32" s="9"/>
      <c r="M32" s="14" t="str">
        <f t="shared" si="36"/>
        <v>QUESTÃO 9</v>
      </c>
      <c r="N32" s="26"/>
      <c r="O32" s="48"/>
      <c r="P32" s="9"/>
      <c r="Q32" s="14" t="str">
        <f t="shared" si="37"/>
        <v>QUESTÃO 9</v>
      </c>
      <c r="R32" s="26">
        <v>16</v>
      </c>
      <c r="S32" s="48"/>
      <c r="U32" s="14" t="str">
        <f t="shared" si="38"/>
        <v>QUESTÃO 9</v>
      </c>
      <c r="V32" s="28">
        <v>17</v>
      </c>
      <c r="W32" s="56"/>
      <c r="Y32" s="14" t="str">
        <f t="shared" si="39"/>
        <v>QUESTÃO 9</v>
      </c>
      <c r="Z32" s="26">
        <v>10</v>
      </c>
      <c r="AA32" s="56"/>
      <c r="AC32" s="14" t="str">
        <f t="shared" si="40"/>
        <v>QUESTÃO 9</v>
      </c>
      <c r="AD32" s="28">
        <v>10</v>
      </c>
      <c r="AE32" s="56"/>
      <c r="AG32" s="14" t="str">
        <f t="shared" si="41"/>
        <v>QUESTÃO 9</v>
      </c>
      <c r="AH32" s="28"/>
      <c r="AI32" s="56"/>
      <c r="AK32" s="14" t="str">
        <f t="shared" si="42"/>
        <v>QUESTÃO 9</v>
      </c>
      <c r="AL32" s="28"/>
      <c r="AM32" s="56"/>
      <c r="AO32" s="14" t="str">
        <f t="shared" si="43"/>
        <v>QUESTÃO 9</v>
      </c>
      <c r="AP32" s="28"/>
      <c r="AQ32" s="56"/>
    </row>
    <row r="33" spans="1:43" ht="15.75" thickBot="1" x14ac:dyDescent="0.3">
      <c r="A33" s="14" t="str">
        <f t="shared" si="33"/>
        <v>QUESTÃO 10</v>
      </c>
      <c r="B33" s="26"/>
      <c r="C33" s="68"/>
      <c r="D33" s="9"/>
      <c r="E33" s="14" t="str">
        <f t="shared" si="34"/>
        <v>QUESTÃO 10</v>
      </c>
      <c r="F33" s="43"/>
      <c r="G33" s="48"/>
      <c r="H33" s="9"/>
      <c r="I33" s="18" t="str">
        <f t="shared" si="35"/>
        <v>QUESTÃO 10</v>
      </c>
      <c r="J33" s="26"/>
      <c r="K33" s="48"/>
      <c r="L33" s="9"/>
      <c r="M33" s="18" t="str">
        <f t="shared" si="36"/>
        <v>QUESTÃO 10</v>
      </c>
      <c r="N33" s="26"/>
      <c r="O33" s="48"/>
      <c r="P33" s="9"/>
      <c r="Q33" s="18" t="str">
        <f t="shared" si="37"/>
        <v>QUESTÃO 10</v>
      </c>
      <c r="R33" s="26">
        <v>16</v>
      </c>
      <c r="S33" s="48"/>
      <c r="U33" s="18" t="str">
        <f t="shared" si="38"/>
        <v>QUESTÃO 10</v>
      </c>
      <c r="V33" s="28">
        <v>14</v>
      </c>
      <c r="W33" s="56"/>
      <c r="Y33" s="18" t="str">
        <f t="shared" si="39"/>
        <v>QUESTÃO 10</v>
      </c>
      <c r="Z33" s="26">
        <v>12</v>
      </c>
      <c r="AA33" s="56"/>
      <c r="AC33" s="18" t="str">
        <f t="shared" si="40"/>
        <v>QUESTÃO 10</v>
      </c>
      <c r="AD33" s="28">
        <v>14</v>
      </c>
      <c r="AE33" s="56"/>
      <c r="AG33" s="18" t="str">
        <f t="shared" si="41"/>
        <v>QUESTÃO 10</v>
      </c>
      <c r="AH33" s="28"/>
      <c r="AI33" s="56"/>
      <c r="AK33" s="18" t="str">
        <f t="shared" si="42"/>
        <v>QUESTÃO 10</v>
      </c>
      <c r="AL33" s="28"/>
      <c r="AM33" s="56"/>
      <c r="AO33" s="18" t="str">
        <f t="shared" si="43"/>
        <v>QUESTÃO 10</v>
      </c>
      <c r="AP33" s="28"/>
      <c r="AQ33" s="56"/>
    </row>
    <row r="34" spans="1:43" ht="15.75" thickBot="1" x14ac:dyDescent="0.3">
      <c r="A34" s="18" t="str">
        <f t="shared" si="33"/>
        <v>QUESTÃO 11</v>
      </c>
      <c r="B34" s="26"/>
      <c r="C34" s="68"/>
      <c r="D34" s="9"/>
      <c r="E34" s="18" t="str">
        <f t="shared" si="34"/>
        <v>QUESTÃO 11</v>
      </c>
      <c r="F34" s="45"/>
      <c r="G34" s="48"/>
      <c r="H34" s="9"/>
      <c r="I34" s="18" t="str">
        <f t="shared" si="35"/>
        <v>QUESTÃO 11</v>
      </c>
      <c r="J34" s="26"/>
      <c r="K34" s="48"/>
      <c r="L34" s="9"/>
      <c r="M34" s="18" t="str">
        <f t="shared" si="36"/>
        <v>QUESTÃO 11</v>
      </c>
      <c r="N34" s="26"/>
      <c r="O34" s="48"/>
      <c r="P34" s="9"/>
      <c r="Q34" s="18" t="str">
        <f t="shared" si="37"/>
        <v>QUESTÃO 11</v>
      </c>
      <c r="R34" s="26"/>
      <c r="S34" s="48"/>
      <c r="U34" s="18" t="str">
        <f t="shared" si="38"/>
        <v>QUESTÃO 11</v>
      </c>
      <c r="V34" s="14"/>
      <c r="W34" s="56"/>
      <c r="Y34" s="18" t="str">
        <f t="shared" si="39"/>
        <v>QUESTÃO 11</v>
      </c>
      <c r="Z34" s="26"/>
      <c r="AA34" s="56"/>
      <c r="AC34" s="18" t="str">
        <f t="shared" si="40"/>
        <v>QUESTÃO 11</v>
      </c>
      <c r="AD34" s="14"/>
      <c r="AE34" s="56"/>
      <c r="AG34" s="18" t="str">
        <f t="shared" si="41"/>
        <v>QUESTÃO 11</v>
      </c>
      <c r="AH34" s="14"/>
      <c r="AI34" s="56"/>
      <c r="AK34" s="18" t="str">
        <f t="shared" si="42"/>
        <v>QUESTÃO 11</v>
      </c>
      <c r="AL34" s="14"/>
      <c r="AM34" s="56"/>
      <c r="AO34" s="18" t="str">
        <f t="shared" si="43"/>
        <v>QUESTÃO 11</v>
      </c>
      <c r="AP34" s="14"/>
      <c r="AQ34" s="56"/>
    </row>
    <row r="35" spans="1:43" ht="15.75" thickBot="1" x14ac:dyDescent="0.3">
      <c r="A35" s="18" t="str">
        <f t="shared" si="33"/>
        <v>QUESTÃO 12</v>
      </c>
      <c r="B35" s="26"/>
      <c r="C35" s="68"/>
      <c r="D35" s="9"/>
      <c r="E35" s="18" t="str">
        <f t="shared" si="34"/>
        <v>QUESTÃO 12</v>
      </c>
      <c r="F35" s="44"/>
      <c r="G35" s="48"/>
      <c r="H35" s="9"/>
      <c r="I35" s="18" t="str">
        <f t="shared" si="35"/>
        <v>QUESTÃO 12</v>
      </c>
      <c r="J35" s="26"/>
      <c r="K35" s="48"/>
      <c r="L35" s="9"/>
      <c r="M35" s="18" t="str">
        <f t="shared" si="36"/>
        <v>QUESTÃO 12</v>
      </c>
      <c r="N35" s="26"/>
      <c r="O35" s="48"/>
      <c r="P35" s="9"/>
      <c r="Q35" s="18" t="str">
        <f t="shared" si="37"/>
        <v>QUESTÃO 12</v>
      </c>
      <c r="R35" s="26"/>
      <c r="S35" s="48"/>
      <c r="U35" s="18" t="str">
        <f t="shared" si="38"/>
        <v>QUESTÃO 12</v>
      </c>
      <c r="V35" s="14"/>
      <c r="W35" s="56"/>
      <c r="Y35" s="18" t="str">
        <f t="shared" si="39"/>
        <v>QUESTÃO 12</v>
      </c>
      <c r="Z35" s="26"/>
      <c r="AA35" s="56"/>
      <c r="AC35" s="18" t="str">
        <f t="shared" si="40"/>
        <v>QUESTÃO 12</v>
      </c>
      <c r="AD35" s="14"/>
      <c r="AE35" s="56"/>
      <c r="AG35" s="18" t="str">
        <f t="shared" si="41"/>
        <v>QUESTÃO 12</v>
      </c>
      <c r="AH35" s="14"/>
      <c r="AI35" s="56"/>
      <c r="AK35" s="18" t="str">
        <f t="shared" si="42"/>
        <v>QUESTÃO 12</v>
      </c>
      <c r="AL35" s="14"/>
      <c r="AM35" s="56"/>
      <c r="AO35" s="18" t="str">
        <f t="shared" si="43"/>
        <v>QUESTÃO 12</v>
      </c>
      <c r="AP35" s="14"/>
      <c r="AQ35" s="56"/>
    </row>
    <row r="36" spans="1:43" ht="15.75" thickBot="1" x14ac:dyDescent="0.3">
      <c r="A36" s="18" t="str">
        <f t="shared" si="33"/>
        <v>QUESTÃO 13</v>
      </c>
      <c r="B36" s="26"/>
      <c r="C36" s="68"/>
      <c r="D36" s="9"/>
      <c r="E36" s="18" t="str">
        <f t="shared" si="34"/>
        <v>QUESTÃO 13</v>
      </c>
      <c r="F36" s="26"/>
      <c r="G36" s="48"/>
      <c r="H36" s="9"/>
      <c r="I36" s="18" t="str">
        <f t="shared" si="35"/>
        <v>QUESTÃO 13</v>
      </c>
      <c r="J36" s="26"/>
      <c r="K36" s="48"/>
      <c r="L36" s="9"/>
      <c r="M36" s="18" t="str">
        <f t="shared" si="36"/>
        <v>QUESTÃO 13</v>
      </c>
      <c r="N36" s="26"/>
      <c r="O36" s="48"/>
      <c r="P36" s="9"/>
      <c r="Q36" s="18" t="str">
        <f t="shared" si="37"/>
        <v>QUESTÃO 13</v>
      </c>
      <c r="R36" s="26"/>
      <c r="S36" s="48"/>
      <c r="U36" s="18" t="str">
        <f t="shared" si="38"/>
        <v>QUESTÃO 13</v>
      </c>
      <c r="V36" s="14"/>
      <c r="W36" s="56"/>
      <c r="Y36" s="18" t="str">
        <f t="shared" si="39"/>
        <v>QUESTÃO 13</v>
      </c>
      <c r="Z36" s="26"/>
      <c r="AA36" s="56"/>
      <c r="AC36" s="18" t="str">
        <f t="shared" si="40"/>
        <v>QUESTÃO 13</v>
      </c>
      <c r="AD36" s="14"/>
      <c r="AE36" s="56"/>
      <c r="AG36" s="18" t="str">
        <f t="shared" si="41"/>
        <v>QUESTÃO 13</v>
      </c>
      <c r="AH36" s="14"/>
      <c r="AI36" s="56"/>
      <c r="AK36" s="18" t="str">
        <f t="shared" si="42"/>
        <v>QUESTÃO 13</v>
      </c>
      <c r="AL36" s="14"/>
      <c r="AM36" s="56"/>
      <c r="AO36" s="18" t="str">
        <f t="shared" si="43"/>
        <v>QUESTÃO 13</v>
      </c>
      <c r="AP36" s="14"/>
      <c r="AQ36" s="56"/>
    </row>
    <row r="37" spans="1:43" ht="15.75" thickBot="1" x14ac:dyDescent="0.3">
      <c r="A37" s="18" t="str">
        <f t="shared" si="33"/>
        <v>QUESTÃO 14</v>
      </c>
      <c r="B37" s="26"/>
      <c r="C37" s="68"/>
      <c r="D37" s="9"/>
      <c r="E37" s="18" t="str">
        <f t="shared" si="34"/>
        <v>QUESTÃO 14</v>
      </c>
      <c r="F37" s="26"/>
      <c r="G37" s="48"/>
      <c r="H37" s="9"/>
      <c r="I37" s="18" t="str">
        <f t="shared" si="35"/>
        <v>QUESTÃO 14</v>
      </c>
      <c r="J37" s="26"/>
      <c r="K37" s="48"/>
      <c r="L37" s="9"/>
      <c r="M37" s="18" t="str">
        <f t="shared" si="36"/>
        <v>QUESTÃO 14</v>
      </c>
      <c r="N37" s="26"/>
      <c r="O37" s="48"/>
      <c r="P37" s="9"/>
      <c r="Q37" s="18" t="str">
        <f t="shared" si="37"/>
        <v>QUESTÃO 14</v>
      </c>
      <c r="R37" s="26"/>
      <c r="S37" s="48"/>
      <c r="U37" s="18" t="str">
        <f t="shared" si="38"/>
        <v>QUESTÃO 14</v>
      </c>
      <c r="V37" s="14"/>
      <c r="W37" s="56"/>
      <c r="Y37" s="18" t="str">
        <f t="shared" si="39"/>
        <v>QUESTÃO 14</v>
      </c>
      <c r="Z37" s="26"/>
      <c r="AA37" s="56"/>
      <c r="AC37" s="18" t="str">
        <f t="shared" si="40"/>
        <v>QUESTÃO 14</v>
      </c>
      <c r="AD37" s="14"/>
      <c r="AE37" s="56"/>
      <c r="AG37" s="18" t="str">
        <f t="shared" si="41"/>
        <v>QUESTÃO 14</v>
      </c>
      <c r="AH37" s="14"/>
      <c r="AI37" s="56"/>
      <c r="AK37" s="18" t="str">
        <f t="shared" si="42"/>
        <v>QUESTÃO 14</v>
      </c>
      <c r="AL37" s="14"/>
      <c r="AM37" s="56"/>
      <c r="AO37" s="18" t="str">
        <f t="shared" si="43"/>
        <v>QUESTÃO 14</v>
      </c>
      <c r="AP37" s="14"/>
      <c r="AQ37" s="56"/>
    </row>
    <row r="38" spans="1:43" ht="15.75" thickBot="1" x14ac:dyDescent="0.3">
      <c r="A38" s="18" t="str">
        <f t="shared" si="33"/>
        <v>QUESTÃO 15</v>
      </c>
      <c r="B38" s="26"/>
      <c r="C38" s="68"/>
      <c r="E38" s="18" t="str">
        <f t="shared" si="34"/>
        <v>QUESTÃO 15</v>
      </c>
      <c r="F38" s="26"/>
      <c r="G38" s="48"/>
      <c r="I38" s="18" t="str">
        <f t="shared" si="35"/>
        <v>QUESTÃO 15</v>
      </c>
      <c r="J38" s="26"/>
      <c r="K38" s="48"/>
      <c r="M38" s="18" t="str">
        <f t="shared" si="36"/>
        <v>QUESTÃO 15</v>
      </c>
      <c r="N38" s="26"/>
      <c r="O38" s="48"/>
      <c r="Q38" s="18" t="str">
        <f t="shared" si="37"/>
        <v>QUESTÃO 15</v>
      </c>
      <c r="R38" s="26"/>
      <c r="S38" s="48"/>
      <c r="U38" s="18" t="str">
        <f t="shared" si="38"/>
        <v>QUESTÃO 15</v>
      </c>
      <c r="V38" s="14"/>
      <c r="W38" s="56"/>
      <c r="Y38" s="18" t="str">
        <f t="shared" si="39"/>
        <v>QUESTÃO 15</v>
      </c>
      <c r="Z38" s="26"/>
      <c r="AA38" s="56"/>
      <c r="AC38" s="18" t="str">
        <f t="shared" si="40"/>
        <v>QUESTÃO 15</v>
      </c>
      <c r="AD38" s="14"/>
      <c r="AE38" s="56"/>
      <c r="AG38" s="18" t="str">
        <f t="shared" si="41"/>
        <v>QUESTÃO 15</v>
      </c>
      <c r="AH38" s="14"/>
      <c r="AI38" s="56"/>
      <c r="AK38" s="18" t="str">
        <f t="shared" si="42"/>
        <v>QUESTÃO 15</v>
      </c>
      <c r="AL38" s="14"/>
      <c r="AM38" s="56"/>
      <c r="AO38" s="18" t="str">
        <f t="shared" si="43"/>
        <v>QUESTÃO 15</v>
      </c>
      <c r="AP38" s="14"/>
      <c r="AQ38" s="56"/>
    </row>
    <row r="39" spans="1:43" ht="15.75" thickBot="1" x14ac:dyDescent="0.3">
      <c r="A39" s="18" t="str">
        <f t="shared" si="33"/>
        <v>QUESTÃO 16</v>
      </c>
      <c r="B39" s="26"/>
      <c r="C39" s="68"/>
      <c r="E39" s="18" t="str">
        <f t="shared" si="34"/>
        <v>QUESTÃO 16</v>
      </c>
      <c r="F39" s="26"/>
      <c r="G39" s="48"/>
      <c r="I39" s="18" t="str">
        <f t="shared" si="35"/>
        <v>QUESTÃO 16</v>
      </c>
      <c r="J39" s="26"/>
      <c r="K39" s="48"/>
      <c r="M39" s="18" t="str">
        <f t="shared" si="36"/>
        <v>QUESTÃO 16</v>
      </c>
      <c r="N39" s="26"/>
      <c r="O39" s="48"/>
      <c r="Q39" s="18" t="str">
        <f t="shared" si="37"/>
        <v>QUESTÃO 16</v>
      </c>
      <c r="R39" s="26"/>
      <c r="S39" s="48"/>
      <c r="U39" s="18" t="str">
        <f t="shared" si="38"/>
        <v>QUESTÃO 16</v>
      </c>
      <c r="V39" s="14"/>
      <c r="W39" s="56"/>
      <c r="Y39" s="18" t="str">
        <f t="shared" si="39"/>
        <v>QUESTÃO 16</v>
      </c>
      <c r="Z39" s="14"/>
      <c r="AA39" s="56"/>
      <c r="AC39" s="18" t="str">
        <f t="shared" si="40"/>
        <v>QUESTÃO 16</v>
      </c>
      <c r="AD39" s="14"/>
      <c r="AE39" s="56"/>
      <c r="AG39" s="18" t="str">
        <f t="shared" si="41"/>
        <v>QUESTÃO 16</v>
      </c>
      <c r="AH39" s="14"/>
      <c r="AI39" s="56"/>
      <c r="AK39" s="18" t="str">
        <f t="shared" si="42"/>
        <v>QUESTÃO 16</v>
      </c>
      <c r="AL39" s="14"/>
      <c r="AM39" s="56"/>
      <c r="AO39" s="18" t="str">
        <f t="shared" si="43"/>
        <v>QUESTÃO 16</v>
      </c>
      <c r="AP39" s="14"/>
      <c r="AQ39" s="56"/>
    </row>
    <row r="40" spans="1:43" ht="15.75" thickBot="1" x14ac:dyDescent="0.3">
      <c r="A40" s="18" t="str">
        <f t="shared" si="33"/>
        <v>QUESTÃO 17</v>
      </c>
      <c r="B40" s="26"/>
      <c r="C40" s="68"/>
      <c r="E40" s="18" t="str">
        <f t="shared" si="34"/>
        <v>QUESTÃO 17</v>
      </c>
      <c r="F40" s="26"/>
      <c r="G40" s="48"/>
      <c r="I40" s="18" t="str">
        <f t="shared" si="35"/>
        <v>QUESTÃO 17</v>
      </c>
      <c r="J40" s="26"/>
      <c r="K40" s="48"/>
      <c r="M40" s="18" t="str">
        <f t="shared" si="36"/>
        <v>QUESTÃO 17</v>
      </c>
      <c r="N40" s="26"/>
      <c r="O40" s="48"/>
      <c r="Q40" s="18" t="str">
        <f t="shared" si="37"/>
        <v>QUESTÃO 17</v>
      </c>
      <c r="R40" s="26"/>
      <c r="S40" s="48"/>
      <c r="U40" s="18" t="str">
        <f t="shared" si="38"/>
        <v>QUESTÃO 17</v>
      </c>
      <c r="V40" s="14"/>
      <c r="W40" s="56"/>
      <c r="Y40" s="18" t="str">
        <f t="shared" si="39"/>
        <v>QUESTÃO 17</v>
      </c>
      <c r="Z40" s="14"/>
      <c r="AA40" s="56"/>
      <c r="AC40" s="18" t="str">
        <f t="shared" si="40"/>
        <v>QUESTÃO 17</v>
      </c>
      <c r="AD40" s="14"/>
      <c r="AE40" s="56"/>
      <c r="AG40" s="18" t="str">
        <f t="shared" si="41"/>
        <v>QUESTÃO 17</v>
      </c>
      <c r="AH40" s="14"/>
      <c r="AI40" s="56"/>
      <c r="AK40" s="18" t="str">
        <f t="shared" si="42"/>
        <v>QUESTÃO 17</v>
      </c>
      <c r="AL40" s="14"/>
      <c r="AM40" s="56"/>
      <c r="AO40" s="18" t="str">
        <f t="shared" si="43"/>
        <v>QUESTÃO 17</v>
      </c>
      <c r="AP40" s="14"/>
      <c r="AQ40" s="56"/>
    </row>
    <row r="41" spans="1:43" ht="15.75" thickBot="1" x14ac:dyDescent="0.3">
      <c r="A41" s="18" t="str">
        <f t="shared" si="33"/>
        <v>QUESTÃO 18</v>
      </c>
      <c r="B41" s="26"/>
      <c r="C41" s="68"/>
      <c r="E41" s="18" t="str">
        <f t="shared" si="34"/>
        <v>QUESTÃO 18</v>
      </c>
      <c r="F41" s="26"/>
      <c r="G41" s="48"/>
      <c r="I41" s="18" t="str">
        <f t="shared" si="35"/>
        <v>QUESTÃO 18</v>
      </c>
      <c r="J41" s="26"/>
      <c r="K41" s="48"/>
      <c r="M41" s="18" t="str">
        <f t="shared" si="36"/>
        <v>QUESTÃO 18</v>
      </c>
      <c r="N41" s="26"/>
      <c r="O41" s="48"/>
      <c r="Q41" s="18" t="str">
        <f t="shared" si="37"/>
        <v>QUESTÃO 18</v>
      </c>
      <c r="R41" s="26"/>
      <c r="S41" s="48"/>
      <c r="U41" s="18" t="str">
        <f t="shared" si="38"/>
        <v>QUESTÃO 18</v>
      </c>
      <c r="V41" s="14"/>
      <c r="W41" s="56"/>
      <c r="Y41" s="18" t="str">
        <f t="shared" si="39"/>
        <v>QUESTÃO 18</v>
      </c>
      <c r="Z41" s="14"/>
      <c r="AA41" s="56"/>
      <c r="AC41" s="18" t="str">
        <f t="shared" si="40"/>
        <v>QUESTÃO 18</v>
      </c>
      <c r="AD41" s="14"/>
      <c r="AE41" s="56"/>
      <c r="AG41" s="18" t="str">
        <f t="shared" si="41"/>
        <v>QUESTÃO 18</v>
      </c>
      <c r="AH41" s="14"/>
      <c r="AI41" s="56"/>
      <c r="AK41" s="18" t="str">
        <f t="shared" si="42"/>
        <v>QUESTÃO 18</v>
      </c>
      <c r="AL41" s="14"/>
      <c r="AM41" s="56"/>
      <c r="AO41" s="18" t="str">
        <f t="shared" si="43"/>
        <v>QUESTÃO 18</v>
      </c>
      <c r="AP41" s="14"/>
      <c r="AQ41" s="56"/>
    </row>
    <row r="42" spans="1:43" ht="15.75" thickBot="1" x14ac:dyDescent="0.3">
      <c r="A42" s="18" t="str">
        <f t="shared" si="33"/>
        <v>QUESTÃO 19</v>
      </c>
      <c r="B42" s="26"/>
      <c r="C42" s="68"/>
      <c r="E42" s="18" t="str">
        <f t="shared" si="34"/>
        <v>QUESTÃO 19</v>
      </c>
      <c r="F42" s="26"/>
      <c r="G42" s="48"/>
      <c r="I42" s="18" t="str">
        <f t="shared" si="35"/>
        <v>QUESTÃO 19</v>
      </c>
      <c r="J42" s="26"/>
      <c r="K42" s="48"/>
      <c r="M42" s="18" t="str">
        <f t="shared" si="36"/>
        <v>QUESTÃO 19</v>
      </c>
      <c r="N42" s="26"/>
      <c r="O42" s="48"/>
      <c r="Q42" s="18" t="str">
        <f t="shared" si="37"/>
        <v>QUESTÃO 19</v>
      </c>
      <c r="R42" s="26"/>
      <c r="S42" s="48"/>
      <c r="U42" s="18" t="str">
        <f t="shared" si="38"/>
        <v>QUESTÃO 19</v>
      </c>
      <c r="V42" s="14"/>
      <c r="W42" s="56"/>
      <c r="Y42" s="18" t="str">
        <f t="shared" si="39"/>
        <v>QUESTÃO 19</v>
      </c>
      <c r="Z42" s="14"/>
      <c r="AA42" s="56"/>
      <c r="AC42" s="18" t="str">
        <f t="shared" si="40"/>
        <v>QUESTÃO 19</v>
      </c>
      <c r="AD42" s="14"/>
      <c r="AE42" s="56"/>
      <c r="AG42" s="18" t="str">
        <f t="shared" si="41"/>
        <v>QUESTÃO 19</v>
      </c>
      <c r="AH42" s="14"/>
      <c r="AI42" s="56"/>
      <c r="AK42" s="18" t="str">
        <f t="shared" si="42"/>
        <v>QUESTÃO 19</v>
      </c>
      <c r="AL42" s="14"/>
      <c r="AM42" s="56"/>
      <c r="AO42" s="18" t="str">
        <f t="shared" si="43"/>
        <v>QUESTÃO 19</v>
      </c>
      <c r="AP42" s="14"/>
      <c r="AQ42" s="56"/>
    </row>
    <row r="43" spans="1:43" ht="15.75" thickBot="1" x14ac:dyDescent="0.3">
      <c r="A43" s="19" t="str">
        <f t="shared" si="33"/>
        <v>QUESTÃO 20</v>
      </c>
      <c r="B43" s="26"/>
      <c r="C43" s="69"/>
      <c r="E43" s="19" t="str">
        <f t="shared" si="34"/>
        <v>QUESTÃO 20</v>
      </c>
      <c r="F43" s="26"/>
      <c r="G43" s="49"/>
      <c r="I43" s="19" t="str">
        <f t="shared" si="35"/>
        <v>QUESTÃO 20</v>
      </c>
      <c r="J43" s="26"/>
      <c r="K43" s="49"/>
      <c r="M43" s="19" t="str">
        <f t="shared" si="36"/>
        <v>QUESTÃO 20</v>
      </c>
      <c r="N43" s="26"/>
      <c r="O43" s="49"/>
      <c r="Q43" s="19" t="str">
        <f t="shared" si="37"/>
        <v>QUESTÃO 20</v>
      </c>
      <c r="R43" s="26"/>
      <c r="S43" s="49"/>
      <c r="U43" s="19" t="str">
        <f t="shared" si="38"/>
        <v>QUESTÃO 20</v>
      </c>
      <c r="V43" s="27"/>
      <c r="W43" s="57"/>
      <c r="Y43" s="19" t="str">
        <f t="shared" si="39"/>
        <v>QUESTÃO 20</v>
      </c>
      <c r="Z43" s="27"/>
      <c r="AA43" s="57"/>
      <c r="AC43" s="19" t="str">
        <f t="shared" si="40"/>
        <v>QUESTÃO 20</v>
      </c>
      <c r="AD43" s="27"/>
      <c r="AE43" s="57"/>
      <c r="AG43" s="19" t="str">
        <f t="shared" si="41"/>
        <v>QUESTÃO 20</v>
      </c>
      <c r="AH43" s="27"/>
      <c r="AI43" s="57"/>
      <c r="AK43" s="19" t="str">
        <f t="shared" si="42"/>
        <v>QUESTÃO 20</v>
      </c>
      <c r="AL43" s="27"/>
      <c r="AM43" s="57"/>
      <c r="AO43" s="19" t="str">
        <f t="shared" si="43"/>
        <v>QUESTÃO 20</v>
      </c>
      <c r="AP43" s="27"/>
      <c r="AQ43" s="57"/>
    </row>
    <row r="45" spans="1:43" ht="15.75" thickBot="1" x14ac:dyDescent="0.3"/>
    <row r="46" spans="1:43" ht="15.75" thickBot="1" x14ac:dyDescent="0.3">
      <c r="A46" s="52" t="s">
        <v>13</v>
      </c>
      <c r="B46" s="53"/>
      <c r="C46" s="54"/>
      <c r="E46" s="52" t="s">
        <v>29</v>
      </c>
      <c r="F46" s="53"/>
      <c r="G46" s="53"/>
      <c r="H46" s="54"/>
    </row>
    <row r="47" spans="1:43" ht="15.75" thickBot="1" x14ac:dyDescent="0.3">
      <c r="A47" s="70" t="s">
        <v>14</v>
      </c>
      <c r="B47" s="71"/>
      <c r="C47" s="72"/>
      <c r="E47" s="21" t="s">
        <v>30</v>
      </c>
      <c r="F47" s="24" t="s">
        <v>41</v>
      </c>
      <c r="G47" s="24" t="s">
        <v>45</v>
      </c>
      <c r="H47" s="24" t="s">
        <v>46</v>
      </c>
    </row>
    <row r="48" spans="1:43" ht="15.75" thickBot="1" x14ac:dyDescent="0.3">
      <c r="A48" s="64" t="s">
        <v>15</v>
      </c>
      <c r="B48" s="65"/>
      <c r="C48" s="66"/>
      <c r="E48" s="22" t="s">
        <v>31</v>
      </c>
      <c r="F48" s="24" t="s">
        <v>42</v>
      </c>
      <c r="G48" s="24" t="s">
        <v>54</v>
      </c>
      <c r="H48" s="24" t="s">
        <v>64</v>
      </c>
    </row>
    <row r="49" spans="1:8" ht="15.75" thickBot="1" x14ac:dyDescent="0.3">
      <c r="A49" s="64" t="s">
        <v>16</v>
      </c>
      <c r="B49" s="65"/>
      <c r="C49" s="66"/>
      <c r="E49" s="22" t="s">
        <v>32</v>
      </c>
      <c r="F49" s="24" t="s">
        <v>43</v>
      </c>
      <c r="G49" s="24" t="s">
        <v>55</v>
      </c>
      <c r="H49" s="24" t="s">
        <v>65</v>
      </c>
    </row>
    <row r="50" spans="1:8" ht="15.75" thickBot="1" x14ac:dyDescent="0.3">
      <c r="A50" s="64" t="s">
        <v>17</v>
      </c>
      <c r="B50" s="65"/>
      <c r="C50" s="66"/>
      <c r="E50" s="22" t="s">
        <v>33</v>
      </c>
      <c r="F50" s="24" t="s">
        <v>44</v>
      </c>
      <c r="G50" s="24" t="s">
        <v>56</v>
      </c>
      <c r="H50" s="24" t="s">
        <v>66</v>
      </c>
    </row>
    <row r="51" spans="1:8" ht="15.75" thickBot="1" x14ac:dyDescent="0.3">
      <c r="A51" s="64" t="s">
        <v>18</v>
      </c>
      <c r="B51" s="65"/>
      <c r="C51" s="66"/>
      <c r="E51" s="22" t="s">
        <v>34</v>
      </c>
      <c r="F51" s="24" t="s">
        <v>47</v>
      </c>
      <c r="G51" s="24" t="s">
        <v>57</v>
      </c>
      <c r="H51" s="24" t="s">
        <v>67</v>
      </c>
    </row>
    <row r="52" spans="1:8" ht="15.75" thickBot="1" x14ac:dyDescent="0.3">
      <c r="A52" s="64" t="s">
        <v>19</v>
      </c>
      <c r="B52" s="65"/>
      <c r="C52" s="66"/>
      <c r="E52" s="22" t="s">
        <v>35</v>
      </c>
      <c r="F52" s="24" t="s">
        <v>48</v>
      </c>
      <c r="G52" s="24" t="s">
        <v>58</v>
      </c>
      <c r="H52" s="24" t="s">
        <v>68</v>
      </c>
    </row>
    <row r="53" spans="1:8" ht="15.75" thickBot="1" x14ac:dyDescent="0.3">
      <c r="A53" s="64" t="s">
        <v>20</v>
      </c>
      <c r="B53" s="65"/>
      <c r="C53" s="66"/>
      <c r="E53" s="22" t="s">
        <v>36</v>
      </c>
      <c r="F53" s="24" t="s">
        <v>49</v>
      </c>
      <c r="G53" s="24" t="s">
        <v>59</v>
      </c>
      <c r="H53" s="24" t="s">
        <v>69</v>
      </c>
    </row>
    <row r="54" spans="1:8" ht="15.75" thickBot="1" x14ac:dyDescent="0.3">
      <c r="A54" s="64" t="s">
        <v>21</v>
      </c>
      <c r="B54" s="65"/>
      <c r="C54" s="66"/>
      <c r="E54" s="22" t="s">
        <v>37</v>
      </c>
      <c r="F54" s="24" t="s">
        <v>50</v>
      </c>
      <c r="G54" s="24" t="s">
        <v>60</v>
      </c>
      <c r="H54" s="24" t="s">
        <v>70</v>
      </c>
    </row>
    <row r="55" spans="1:8" ht="15.75" thickBot="1" x14ac:dyDescent="0.3">
      <c r="A55" s="64" t="s">
        <v>22</v>
      </c>
      <c r="B55" s="65"/>
      <c r="C55" s="66"/>
      <c r="E55" s="22" t="s">
        <v>38</v>
      </c>
      <c r="F55" s="24" t="s">
        <v>51</v>
      </c>
      <c r="G55" s="24" t="s">
        <v>61</v>
      </c>
      <c r="H55" s="24" t="s">
        <v>71</v>
      </c>
    </row>
    <row r="56" spans="1:8" ht="15.75" thickBot="1" x14ac:dyDescent="0.3">
      <c r="A56" s="64" t="s">
        <v>23</v>
      </c>
      <c r="B56" s="65"/>
      <c r="C56" s="66"/>
      <c r="E56" s="22" t="s">
        <v>39</v>
      </c>
      <c r="F56" s="24" t="s">
        <v>52</v>
      </c>
      <c r="G56" s="24" t="s">
        <v>62</v>
      </c>
      <c r="H56" s="24" t="s">
        <v>72</v>
      </c>
    </row>
    <row r="57" spans="1:8" ht="15.75" thickBot="1" x14ac:dyDescent="0.3">
      <c r="A57" s="64" t="s">
        <v>24</v>
      </c>
      <c r="B57" s="65"/>
      <c r="C57" s="66"/>
      <c r="E57" s="23" t="s">
        <v>40</v>
      </c>
      <c r="F57" s="24" t="s">
        <v>53</v>
      </c>
      <c r="G57" s="24" t="s">
        <v>63</v>
      </c>
      <c r="H57" s="24" t="s">
        <v>73</v>
      </c>
    </row>
    <row r="58" spans="1:8" x14ac:dyDescent="0.25">
      <c r="A58" s="64" t="s">
        <v>25</v>
      </c>
      <c r="B58" s="65"/>
      <c r="C58" s="66"/>
    </row>
    <row r="59" spans="1:8" x14ac:dyDescent="0.25">
      <c r="A59" s="64" t="s">
        <v>26</v>
      </c>
      <c r="B59" s="65"/>
      <c r="C59" s="66"/>
    </row>
    <row r="60" spans="1:8" x14ac:dyDescent="0.25">
      <c r="A60" s="64" t="s">
        <v>27</v>
      </c>
      <c r="B60" s="65"/>
      <c r="C60" s="66"/>
    </row>
    <row r="61" spans="1:8" ht="15.75" thickBot="1" x14ac:dyDescent="0.3">
      <c r="A61" s="64" t="s">
        <v>28</v>
      </c>
      <c r="B61" s="65"/>
      <c r="C61" s="66"/>
    </row>
    <row r="62" spans="1:8" ht="15.75" thickBot="1" x14ac:dyDescent="0.3">
      <c r="A62" s="64" t="s">
        <v>7</v>
      </c>
      <c r="B62" s="65"/>
      <c r="C62" s="66"/>
      <c r="E62" s="50" t="s">
        <v>74</v>
      </c>
      <c r="F62" s="51"/>
    </row>
    <row r="63" spans="1:8" x14ac:dyDescent="0.25">
      <c r="A63" s="64" t="s">
        <v>8</v>
      </c>
      <c r="B63" s="65"/>
      <c r="C63" s="66"/>
      <c r="E63" s="33" t="s">
        <v>86</v>
      </c>
      <c r="F63" s="39"/>
      <c r="G63" s="32"/>
      <c r="H63" s="32"/>
    </row>
    <row r="64" spans="1:8" x14ac:dyDescent="0.25">
      <c r="A64" s="64" t="s">
        <v>9</v>
      </c>
      <c r="B64" s="65"/>
      <c r="C64" s="66"/>
      <c r="E64" s="33" t="s">
        <v>87</v>
      </c>
      <c r="F64" s="18"/>
      <c r="G64" s="32"/>
      <c r="H64" s="32"/>
    </row>
    <row r="65" spans="1:8" x14ac:dyDescent="0.25">
      <c r="A65" s="64" t="s">
        <v>10</v>
      </c>
      <c r="B65" s="65"/>
      <c r="C65" s="66"/>
      <c r="E65" s="33" t="s">
        <v>88</v>
      </c>
      <c r="F65" s="18"/>
      <c r="G65" s="32"/>
      <c r="H65" s="32"/>
    </row>
    <row r="66" spans="1:8" x14ac:dyDescent="0.25">
      <c r="A66" s="64" t="s">
        <v>11</v>
      </c>
      <c r="B66" s="65"/>
      <c r="C66" s="66"/>
      <c r="E66" s="33" t="s">
        <v>89</v>
      </c>
      <c r="F66" s="18"/>
      <c r="G66" s="32"/>
      <c r="H66" s="32"/>
    </row>
    <row r="67" spans="1:8" x14ac:dyDescent="0.25">
      <c r="A67" s="64" t="s">
        <v>2</v>
      </c>
      <c r="B67" s="65"/>
      <c r="C67" s="66"/>
      <c r="E67" s="33" t="s">
        <v>90</v>
      </c>
      <c r="F67" s="18">
        <v>19</v>
      </c>
      <c r="G67" s="32"/>
      <c r="H67" s="32"/>
    </row>
    <row r="68" spans="1:8" x14ac:dyDescent="0.25">
      <c r="A68" s="64" t="s">
        <v>3</v>
      </c>
      <c r="B68" s="65"/>
      <c r="C68" s="66"/>
      <c r="E68" s="33" t="s">
        <v>91</v>
      </c>
      <c r="F68" s="18">
        <v>19</v>
      </c>
      <c r="G68" s="32"/>
      <c r="H68" s="32"/>
    </row>
    <row r="69" spans="1:8" x14ac:dyDescent="0.25">
      <c r="A69" s="64" t="s">
        <v>4</v>
      </c>
      <c r="B69" s="65"/>
      <c r="C69" s="66"/>
      <c r="E69" s="33" t="s">
        <v>92</v>
      </c>
      <c r="F69" s="18">
        <v>17</v>
      </c>
      <c r="G69" s="32"/>
      <c r="H69" s="32"/>
    </row>
    <row r="70" spans="1:8" x14ac:dyDescent="0.25">
      <c r="A70" s="64" t="s">
        <v>5</v>
      </c>
      <c r="B70" s="65"/>
      <c r="C70" s="66"/>
      <c r="E70" s="33" t="s">
        <v>93</v>
      </c>
      <c r="F70" s="18">
        <v>19</v>
      </c>
      <c r="G70" s="32"/>
      <c r="H70" s="32"/>
    </row>
    <row r="71" spans="1:8" x14ac:dyDescent="0.25">
      <c r="A71" s="64" t="s">
        <v>6</v>
      </c>
      <c r="B71" s="65"/>
      <c r="C71" s="66"/>
      <c r="E71" s="33" t="s">
        <v>94</v>
      </c>
      <c r="F71" s="18"/>
      <c r="G71" s="32"/>
      <c r="H71" s="32"/>
    </row>
    <row r="72" spans="1:8" x14ac:dyDescent="0.25">
      <c r="A72" s="61" t="str">
        <f>""</f>
        <v/>
      </c>
      <c r="B72" s="62"/>
      <c r="C72" s="63"/>
      <c r="E72" s="33" t="s">
        <v>95</v>
      </c>
      <c r="F72" s="18"/>
      <c r="G72" s="32"/>
      <c r="H72" s="32"/>
    </row>
    <row r="73" spans="1:8" ht="15.75" thickBot="1" x14ac:dyDescent="0.3">
      <c r="A73" s="61" t="str">
        <f>""</f>
        <v/>
      </c>
      <c r="B73" s="62"/>
      <c r="C73" s="63"/>
      <c r="E73" s="34" t="s">
        <v>96</v>
      </c>
      <c r="F73" s="38"/>
      <c r="G73" s="32"/>
      <c r="H73" s="32"/>
    </row>
    <row r="74" spans="1:8" x14ac:dyDescent="0.25">
      <c r="A74" s="61" t="str">
        <f>""</f>
        <v/>
      </c>
      <c r="B74" s="62"/>
      <c r="C74" s="63"/>
    </row>
    <row r="75" spans="1:8" x14ac:dyDescent="0.25">
      <c r="A75" s="61" t="str">
        <f>""</f>
        <v/>
      </c>
      <c r="B75" s="62"/>
      <c r="C75" s="63"/>
    </row>
    <row r="76" spans="1:8" x14ac:dyDescent="0.25">
      <c r="A76" s="61" t="str">
        <f>""</f>
        <v/>
      </c>
      <c r="B76" s="62"/>
      <c r="C76" s="63"/>
    </row>
    <row r="77" spans="1:8" x14ac:dyDescent="0.25">
      <c r="A77" s="61" t="str">
        <f>""</f>
        <v/>
      </c>
      <c r="B77" s="62"/>
      <c r="C77" s="63"/>
    </row>
    <row r="78" spans="1:8" x14ac:dyDescent="0.25">
      <c r="A78" s="61" t="str">
        <f>""</f>
        <v/>
      </c>
      <c r="B78" s="62"/>
      <c r="C78" s="63"/>
    </row>
    <row r="79" spans="1:8" x14ac:dyDescent="0.25">
      <c r="A79" s="61" t="str">
        <f>""</f>
        <v/>
      </c>
      <c r="B79" s="62"/>
      <c r="C79" s="63"/>
    </row>
    <row r="80" spans="1:8" x14ac:dyDescent="0.25">
      <c r="A80" s="61" t="str">
        <f>""</f>
        <v/>
      </c>
      <c r="B80" s="62"/>
      <c r="C80" s="63"/>
    </row>
    <row r="81" spans="1:3" x14ac:dyDescent="0.25">
      <c r="A81" s="61" t="str">
        <f>""</f>
        <v/>
      </c>
      <c r="B81" s="62"/>
      <c r="C81" s="63"/>
    </row>
  </sheetData>
  <mergeCells count="60">
    <mergeCell ref="M23:O23"/>
    <mergeCell ref="Q23:S23"/>
    <mergeCell ref="C24:C43"/>
    <mergeCell ref="A52:C52"/>
    <mergeCell ref="A46:C46"/>
    <mergeCell ref="A23:C23"/>
    <mergeCell ref="E23:G23"/>
    <mergeCell ref="I23:K23"/>
    <mergeCell ref="A47:C47"/>
    <mergeCell ref="A48:C48"/>
    <mergeCell ref="A49:C49"/>
    <mergeCell ref="A50:C50"/>
    <mergeCell ref="A51:C51"/>
    <mergeCell ref="S24:S43"/>
    <mergeCell ref="O24:O43"/>
    <mergeCell ref="K24:K43"/>
    <mergeCell ref="A64:C64"/>
    <mergeCell ref="A53:C53"/>
    <mergeCell ref="A54:C54"/>
    <mergeCell ref="A55:C55"/>
    <mergeCell ref="A56:C56"/>
    <mergeCell ref="A57:C57"/>
    <mergeCell ref="A58:C58"/>
    <mergeCell ref="A80:C80"/>
    <mergeCell ref="A81:C81"/>
    <mergeCell ref="A71:C71"/>
    <mergeCell ref="A72:C72"/>
    <mergeCell ref="A73:C73"/>
    <mergeCell ref="A74:C74"/>
    <mergeCell ref="A75:C75"/>
    <mergeCell ref="A76:C76"/>
    <mergeCell ref="Y23:AA23"/>
    <mergeCell ref="U23:W23"/>
    <mergeCell ref="A77:C77"/>
    <mergeCell ref="A78:C78"/>
    <mergeCell ref="A79:C79"/>
    <mergeCell ref="A65:C65"/>
    <mergeCell ref="A66:C66"/>
    <mergeCell ref="A67:C67"/>
    <mergeCell ref="A68:C68"/>
    <mergeCell ref="A69:C69"/>
    <mergeCell ref="A70:C70"/>
    <mergeCell ref="A59:C59"/>
    <mergeCell ref="A60:C60"/>
    <mergeCell ref="A61:C61"/>
    <mergeCell ref="A62:C62"/>
    <mergeCell ref="A63:C63"/>
    <mergeCell ref="AQ24:AQ43"/>
    <mergeCell ref="AO23:AQ23"/>
    <mergeCell ref="AK23:AM23"/>
    <mergeCell ref="AG23:AI23"/>
    <mergeCell ref="AC23:AE23"/>
    <mergeCell ref="G24:G43"/>
    <mergeCell ref="E62:F62"/>
    <mergeCell ref="E46:H46"/>
    <mergeCell ref="AM24:AM43"/>
    <mergeCell ref="AI24:AI43"/>
    <mergeCell ref="AE24:AE43"/>
    <mergeCell ref="AA24:AA43"/>
    <mergeCell ref="W24:W4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mparCampos" altText="TEM CERTEZA QUE QUER RESETAR TUDO? ">
                <anchor moveWithCells="1" sizeWithCells="1">
                  <from>
                    <xdr:col>0</xdr:col>
                    <xdr:colOff>9525</xdr:colOff>
                    <xdr:row>83</xdr:row>
                    <xdr:rowOff>19050</xdr:rowOff>
                  </from>
                  <to>
                    <xdr:col>3</xdr:col>
                    <xdr:colOff>9525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iarGraficoComFormatacao">
                <anchor moveWithCells="1">
                  <from>
                    <xdr:col>12</xdr:col>
                    <xdr:colOff>228600</xdr:colOff>
                    <xdr:row>47</xdr:row>
                    <xdr:rowOff>57150</xdr:rowOff>
                  </from>
                  <to>
                    <xdr:col>16</xdr:col>
                    <xdr:colOff>352425</xdr:colOff>
                    <xdr:row>53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30044-EC35-433C-AD39-147164BEE976}">
  <sheetPr codeName="Planilha5"/>
  <dimension ref="A1:AQ74"/>
  <sheetViews>
    <sheetView zoomScaleNormal="100" workbookViewId="0">
      <selection activeCell="F63" sqref="F63:F70"/>
    </sheetView>
  </sheetViews>
  <sheetFormatPr defaultRowHeight="15" x14ac:dyDescent="0.25"/>
  <cols>
    <col min="1" max="1" width="15" bestFit="1" customWidth="1"/>
    <col min="5" max="5" width="15" bestFit="1" customWidth="1"/>
    <col min="9" max="9" width="15" bestFit="1" customWidth="1"/>
    <col min="10" max="10" width="14.140625" bestFit="1" customWidth="1"/>
    <col min="13" max="13" width="15" bestFit="1" customWidth="1"/>
    <col min="17" max="17" width="15" bestFit="1" customWidth="1"/>
    <col min="21" max="21" width="15" bestFit="1" customWidth="1"/>
    <col min="25" max="25" width="15" bestFit="1" customWidth="1"/>
    <col min="29" max="29" width="15" bestFit="1" customWidth="1"/>
    <col min="33" max="33" width="15" bestFit="1" customWidth="1"/>
    <col min="37" max="37" width="15" bestFit="1" customWidth="1"/>
    <col min="41" max="41" width="15" bestFit="1" customWidth="1"/>
  </cols>
  <sheetData>
    <row r="1" spans="1:43" x14ac:dyDescent="0.25">
      <c r="A1" s="1" t="s">
        <v>86</v>
      </c>
      <c r="B1" s="2" t="s">
        <v>0</v>
      </c>
      <c r="C1" s="3" t="s">
        <v>1</v>
      </c>
      <c r="E1" s="7" t="s">
        <v>87</v>
      </c>
      <c r="F1" s="2" t="s">
        <v>0</v>
      </c>
      <c r="G1" s="3" t="s">
        <v>1</v>
      </c>
      <c r="I1" s="8" t="s">
        <v>88</v>
      </c>
      <c r="J1" s="2" t="s">
        <v>0</v>
      </c>
      <c r="K1" s="3" t="s">
        <v>1</v>
      </c>
      <c r="M1" s="8" t="s">
        <v>89</v>
      </c>
      <c r="N1" s="2" t="s">
        <v>0</v>
      </c>
      <c r="O1" s="3" t="s">
        <v>1</v>
      </c>
      <c r="Q1" s="8" t="s">
        <v>90</v>
      </c>
      <c r="R1" s="2" t="s">
        <v>0</v>
      </c>
      <c r="S1" s="3" t="s">
        <v>1</v>
      </c>
      <c r="U1" s="8" t="s">
        <v>91</v>
      </c>
      <c r="V1" s="2" t="s">
        <v>0</v>
      </c>
      <c r="W1" s="3" t="s">
        <v>1</v>
      </c>
      <c r="Y1" s="8" t="s">
        <v>92</v>
      </c>
      <c r="Z1" s="2" t="s">
        <v>0</v>
      </c>
      <c r="AA1" s="3" t="s">
        <v>1</v>
      </c>
      <c r="AC1" s="8" t="s">
        <v>93</v>
      </c>
      <c r="AD1" s="2" t="s">
        <v>0</v>
      </c>
      <c r="AE1" s="3" t="s">
        <v>1</v>
      </c>
      <c r="AG1" s="8" t="s">
        <v>94</v>
      </c>
      <c r="AH1" s="2" t="s">
        <v>0</v>
      </c>
      <c r="AI1" s="3" t="s">
        <v>1</v>
      </c>
      <c r="AK1" s="8" t="s">
        <v>95</v>
      </c>
      <c r="AL1" s="2" t="s">
        <v>0</v>
      </c>
      <c r="AM1" s="3" t="s">
        <v>1</v>
      </c>
      <c r="AO1" s="8" t="s">
        <v>96</v>
      </c>
      <c r="AP1" s="2" t="s">
        <v>0</v>
      </c>
      <c r="AQ1" s="3" t="s">
        <v>1</v>
      </c>
    </row>
    <row r="2" spans="1:43" x14ac:dyDescent="0.25">
      <c r="A2" s="4" t="str">
        <f t="shared" ref="A2:A12" si="0">A53</f>
        <v>QUESTÃO 11</v>
      </c>
      <c r="B2" s="5">
        <f>B15/$F$63*100/100</f>
        <v>0.30769230769230771</v>
      </c>
      <c r="C2" s="6">
        <f>100%-B2</f>
        <v>0.69230769230769229</v>
      </c>
      <c r="E2" s="4" t="str">
        <f t="shared" ref="E2:E12" si="1">$A53</f>
        <v>QUESTÃO 11</v>
      </c>
      <c r="F2" s="5">
        <f>F15/$F$64*100/100</f>
        <v>0.31818181818181818</v>
      </c>
      <c r="G2" s="6">
        <f>100%-F2</f>
        <v>0.68181818181818188</v>
      </c>
      <c r="I2" s="4" t="str">
        <f t="shared" ref="I2:I12" si="2">$A53</f>
        <v>QUESTÃO 11</v>
      </c>
      <c r="J2" s="5">
        <f>J15/$F$65*100/100</f>
        <v>0.29166666666666669</v>
      </c>
      <c r="K2" s="6">
        <f>100%-J2</f>
        <v>0.70833333333333326</v>
      </c>
      <c r="M2" s="4" t="str">
        <f t="shared" ref="M2:M12" si="3">$A53</f>
        <v>QUESTÃO 11</v>
      </c>
      <c r="N2" s="5">
        <f>N15/$F$66*100/100</f>
        <v>0.7</v>
      </c>
      <c r="O2" s="6">
        <f>100%-N2</f>
        <v>0.30000000000000004</v>
      </c>
      <c r="Q2" s="4" t="str">
        <f t="shared" ref="Q2:Q12" si="4">$A53</f>
        <v>QUESTÃO 11</v>
      </c>
      <c r="R2" s="5">
        <f>R15/$F$67*100/100</f>
        <v>0.36842105263157893</v>
      </c>
      <c r="S2" s="6">
        <f>100%-R2</f>
        <v>0.63157894736842102</v>
      </c>
      <c r="U2" s="4" t="str">
        <f t="shared" ref="U2:U12" si="5">$A53</f>
        <v>QUESTÃO 11</v>
      </c>
      <c r="V2" s="5">
        <f>V15/$F$68*100/100</f>
        <v>0.31578947368421051</v>
      </c>
      <c r="W2" s="6">
        <f>100%-V2</f>
        <v>0.68421052631578949</v>
      </c>
      <c r="Y2" s="4" t="str">
        <f t="shared" ref="Y2:Y12" si="6">$A53</f>
        <v>QUESTÃO 11</v>
      </c>
      <c r="Z2" s="5">
        <f>Z15/$F$69*100/100</f>
        <v>0.23529411764705879</v>
      </c>
      <c r="AA2" s="6">
        <f>100%-Z2</f>
        <v>0.76470588235294124</v>
      </c>
      <c r="AC2" s="4" t="str">
        <f t="shared" ref="AC2:AC12" si="7">$A53</f>
        <v>QUESTÃO 11</v>
      </c>
      <c r="AD2" s="5">
        <f>AD15/$F$70*100/100</f>
        <v>0.16666666666666663</v>
      </c>
      <c r="AE2" s="6">
        <f>100%-AD2</f>
        <v>0.83333333333333337</v>
      </c>
      <c r="AG2" s="4" t="str">
        <f t="shared" ref="AG2:AG12" si="8">$A53</f>
        <v>QUESTÃO 11</v>
      </c>
      <c r="AH2" s="5" t="e">
        <f>AH15/$F$71*100/100</f>
        <v>#DIV/0!</v>
      </c>
      <c r="AI2" s="6" t="e">
        <f>100%-AH2</f>
        <v>#DIV/0!</v>
      </c>
      <c r="AK2" s="4" t="str">
        <f t="shared" ref="AK2:AK12" si="9">$A53</f>
        <v>QUESTÃO 11</v>
      </c>
      <c r="AL2" s="5" t="e">
        <f>AL15/$F$72*100/100</f>
        <v>#DIV/0!</v>
      </c>
      <c r="AM2" s="6" t="e">
        <f>100%-AL2</f>
        <v>#DIV/0!</v>
      </c>
      <c r="AO2" s="4" t="str">
        <f t="shared" ref="AO2:AO12" si="10">$A53</f>
        <v>QUESTÃO 11</v>
      </c>
      <c r="AP2" s="5" t="e">
        <f>AP15/$F$73*100/100</f>
        <v>#DIV/0!</v>
      </c>
      <c r="AQ2" s="6" t="e">
        <f>100%-AP2</f>
        <v>#DIV/0!</v>
      </c>
    </row>
    <row r="3" spans="1:43" x14ac:dyDescent="0.25">
      <c r="A3" s="4" t="str">
        <f t="shared" si="0"/>
        <v>QUESTÃO 12</v>
      </c>
      <c r="B3" s="5">
        <f t="shared" ref="B3:B11" si="11">B16/$F$63*100/100</f>
        <v>0.42307692307692307</v>
      </c>
      <c r="C3" s="6">
        <f t="shared" ref="C3:C11" si="12">100%-B3</f>
        <v>0.57692307692307687</v>
      </c>
      <c r="E3" s="4" t="str">
        <f t="shared" si="1"/>
        <v>QUESTÃO 12</v>
      </c>
      <c r="F3" s="5">
        <f t="shared" ref="F3:F11" si="13">F16/$F$64*100/100</f>
        <v>0.13636363636363635</v>
      </c>
      <c r="G3" s="6">
        <f t="shared" ref="G3:G11" si="14">100%-F3</f>
        <v>0.86363636363636365</v>
      </c>
      <c r="I3" s="4" t="str">
        <f t="shared" si="2"/>
        <v>QUESTÃO 12</v>
      </c>
      <c r="J3" s="5">
        <f t="shared" ref="J3:J11" si="15">J16/$F$65*100/100</f>
        <v>0.41666666666666674</v>
      </c>
      <c r="K3" s="6">
        <f t="shared" ref="K3:K10" si="16">100%-J3</f>
        <v>0.58333333333333326</v>
      </c>
      <c r="M3" s="4" t="str">
        <f t="shared" si="3"/>
        <v>QUESTÃO 12</v>
      </c>
      <c r="N3" s="5">
        <f t="shared" ref="N3:N11" si="17">N16/$F$66*100/100</f>
        <v>0.9</v>
      </c>
      <c r="O3" s="6">
        <f t="shared" ref="O3:O11" si="18">100%-N3</f>
        <v>9.9999999999999978E-2</v>
      </c>
      <c r="Q3" s="4" t="str">
        <f t="shared" si="4"/>
        <v>QUESTÃO 12</v>
      </c>
      <c r="R3" s="5">
        <f t="shared" ref="R3:R11" si="19">R16/$F$67*100/100</f>
        <v>0.36842105263157893</v>
      </c>
      <c r="S3" s="6">
        <f t="shared" ref="S3:S11" si="20">100%-R3</f>
        <v>0.63157894736842102</v>
      </c>
      <c r="U3" s="4" t="str">
        <f t="shared" si="5"/>
        <v>QUESTÃO 12</v>
      </c>
      <c r="V3" s="5">
        <f t="shared" ref="V3:V11" si="21">V16/$F$68*100/100</f>
        <v>0.36842105263157893</v>
      </c>
      <c r="W3" s="6">
        <f t="shared" ref="W3:W11" si="22">100%-V3</f>
        <v>0.63157894736842102</v>
      </c>
      <c r="Y3" s="4" t="str">
        <f t="shared" si="6"/>
        <v>QUESTÃO 12</v>
      </c>
      <c r="Z3" s="5">
        <f t="shared" ref="Z3:Z11" si="23">Z16/$F$69*100/100</f>
        <v>0.35294117647058826</v>
      </c>
      <c r="AA3" s="6">
        <f t="shared" ref="AA3:AA11" si="24">100%-Z3</f>
        <v>0.64705882352941169</v>
      </c>
      <c r="AC3" s="4" t="str">
        <f t="shared" si="7"/>
        <v>QUESTÃO 12</v>
      </c>
      <c r="AD3" s="5">
        <f t="shared" ref="AD3:AD11" si="25">AD16/$F$70*100/100</f>
        <v>0.27777777777777779</v>
      </c>
      <c r="AE3" s="6">
        <f t="shared" ref="AE3:AE11" si="26">100%-AD3</f>
        <v>0.72222222222222221</v>
      </c>
      <c r="AG3" s="4" t="str">
        <f t="shared" si="8"/>
        <v>QUESTÃO 12</v>
      </c>
      <c r="AH3" s="5" t="e">
        <f t="shared" ref="AH3:AH11" si="27">AH16/$F$71*100/100</f>
        <v>#DIV/0!</v>
      </c>
      <c r="AI3" s="6" t="e">
        <f t="shared" ref="AI3:AI11" si="28">100%-AH3</f>
        <v>#DIV/0!</v>
      </c>
      <c r="AK3" s="4" t="str">
        <f t="shared" si="9"/>
        <v>QUESTÃO 12</v>
      </c>
      <c r="AL3" s="5" t="e">
        <f t="shared" ref="AL3:AL11" si="29">AL16/$F$72*100/100</f>
        <v>#DIV/0!</v>
      </c>
      <c r="AM3" s="6" t="e">
        <f t="shared" ref="AM3:AM11" si="30">100%-AL3</f>
        <v>#DIV/0!</v>
      </c>
      <c r="AO3" s="4" t="str">
        <f t="shared" si="10"/>
        <v>QUESTÃO 12</v>
      </c>
      <c r="AP3" s="5" t="e">
        <f t="shared" ref="AP3:AP11" si="31">AP16/$F$73*100/100</f>
        <v>#DIV/0!</v>
      </c>
      <c r="AQ3" s="6" t="e">
        <f t="shared" ref="AQ3:AQ11" si="32">100%-AP3</f>
        <v>#DIV/0!</v>
      </c>
    </row>
    <row r="4" spans="1:43" x14ac:dyDescent="0.25">
      <c r="A4" s="4" t="str">
        <f t="shared" si="0"/>
        <v>QUESTÃO 13</v>
      </c>
      <c r="B4" s="5">
        <f t="shared" si="11"/>
        <v>0.34615384615384615</v>
      </c>
      <c r="C4" s="6">
        <f t="shared" si="12"/>
        <v>0.65384615384615385</v>
      </c>
      <c r="E4" s="4" t="str">
        <f t="shared" si="1"/>
        <v>QUESTÃO 13</v>
      </c>
      <c r="F4" s="5">
        <f t="shared" si="13"/>
        <v>9.0909090909090912E-2</v>
      </c>
      <c r="G4" s="6">
        <f t="shared" si="14"/>
        <v>0.90909090909090906</v>
      </c>
      <c r="I4" s="4" t="str">
        <f t="shared" si="2"/>
        <v>QUESTÃO 13</v>
      </c>
      <c r="J4" s="5">
        <f t="shared" si="15"/>
        <v>0.29166666666666669</v>
      </c>
      <c r="K4" s="6">
        <f t="shared" si="16"/>
        <v>0.70833333333333326</v>
      </c>
      <c r="M4" s="4" t="str">
        <f t="shared" si="3"/>
        <v>QUESTÃO 13</v>
      </c>
      <c r="N4" s="5">
        <f t="shared" si="17"/>
        <v>0.8</v>
      </c>
      <c r="O4" s="6">
        <f t="shared" si="18"/>
        <v>0.19999999999999996</v>
      </c>
      <c r="Q4" s="4" t="str">
        <f t="shared" si="4"/>
        <v>QUESTÃO 13</v>
      </c>
      <c r="R4" s="5">
        <f t="shared" si="19"/>
        <v>0.42105263157894735</v>
      </c>
      <c r="S4" s="6">
        <f t="shared" si="20"/>
        <v>0.57894736842105265</v>
      </c>
      <c r="U4" s="4" t="str">
        <f t="shared" si="5"/>
        <v>QUESTÃO 13</v>
      </c>
      <c r="V4" s="5">
        <f t="shared" si="21"/>
        <v>0.15789473684210525</v>
      </c>
      <c r="W4" s="6">
        <f t="shared" si="22"/>
        <v>0.84210526315789469</v>
      </c>
      <c r="Y4" s="4" t="str">
        <f t="shared" si="6"/>
        <v>QUESTÃO 13</v>
      </c>
      <c r="Z4" s="5">
        <f t="shared" si="23"/>
        <v>0.35294117647058826</v>
      </c>
      <c r="AA4" s="6">
        <f t="shared" si="24"/>
        <v>0.64705882352941169</v>
      </c>
      <c r="AC4" s="4" t="str">
        <f t="shared" si="7"/>
        <v>QUESTÃO 13</v>
      </c>
      <c r="AD4" s="5">
        <f t="shared" si="25"/>
        <v>0.16666666666666663</v>
      </c>
      <c r="AE4" s="6">
        <f t="shared" si="26"/>
        <v>0.83333333333333337</v>
      </c>
      <c r="AG4" s="4" t="str">
        <f t="shared" si="8"/>
        <v>QUESTÃO 13</v>
      </c>
      <c r="AH4" s="5" t="e">
        <f t="shared" si="27"/>
        <v>#DIV/0!</v>
      </c>
      <c r="AI4" s="6" t="e">
        <f t="shared" si="28"/>
        <v>#DIV/0!</v>
      </c>
      <c r="AK4" s="4" t="str">
        <f t="shared" si="9"/>
        <v>QUESTÃO 13</v>
      </c>
      <c r="AL4" s="5" t="e">
        <f t="shared" si="29"/>
        <v>#DIV/0!</v>
      </c>
      <c r="AM4" s="6" t="e">
        <f t="shared" si="30"/>
        <v>#DIV/0!</v>
      </c>
      <c r="AO4" s="4" t="str">
        <f t="shared" si="10"/>
        <v>QUESTÃO 13</v>
      </c>
      <c r="AP4" s="5" t="e">
        <f t="shared" si="31"/>
        <v>#DIV/0!</v>
      </c>
      <c r="AQ4" s="6" t="e">
        <f t="shared" si="32"/>
        <v>#DIV/0!</v>
      </c>
    </row>
    <row r="5" spans="1:43" x14ac:dyDescent="0.25">
      <c r="A5" s="4" t="str">
        <f t="shared" si="0"/>
        <v>QUESTÃO 14</v>
      </c>
      <c r="B5" s="5">
        <f t="shared" si="11"/>
        <v>0.42307692307692307</v>
      </c>
      <c r="C5" s="6">
        <f t="shared" si="12"/>
        <v>0.57692307692307687</v>
      </c>
      <c r="E5" s="4" t="str">
        <f t="shared" si="1"/>
        <v>QUESTÃO 14</v>
      </c>
      <c r="F5" s="5">
        <f t="shared" si="13"/>
        <v>0.5</v>
      </c>
      <c r="G5" s="6">
        <f t="shared" si="14"/>
        <v>0.5</v>
      </c>
      <c r="I5" s="4" t="str">
        <f t="shared" si="2"/>
        <v>QUESTÃO 14</v>
      </c>
      <c r="J5" s="5">
        <f t="shared" si="15"/>
        <v>0.41666666666666674</v>
      </c>
      <c r="K5" s="6">
        <f t="shared" si="16"/>
        <v>0.58333333333333326</v>
      </c>
      <c r="M5" s="4" t="str">
        <f t="shared" si="3"/>
        <v>QUESTÃO 14</v>
      </c>
      <c r="N5" s="5">
        <f t="shared" si="17"/>
        <v>0.95</v>
      </c>
      <c r="O5" s="6">
        <f t="shared" si="18"/>
        <v>5.0000000000000044E-2</v>
      </c>
      <c r="Q5" s="4" t="str">
        <f t="shared" si="4"/>
        <v>QUESTÃO 14</v>
      </c>
      <c r="R5" s="5">
        <f t="shared" si="19"/>
        <v>0.73684210526315785</v>
      </c>
      <c r="S5" s="6">
        <f t="shared" si="20"/>
        <v>0.26315789473684215</v>
      </c>
      <c r="U5" s="4" t="str">
        <f t="shared" si="5"/>
        <v>QUESTÃO 14</v>
      </c>
      <c r="V5" s="5">
        <f t="shared" si="21"/>
        <v>0.42105263157894735</v>
      </c>
      <c r="W5" s="6">
        <f t="shared" si="22"/>
        <v>0.57894736842105265</v>
      </c>
      <c r="Y5" s="4" t="str">
        <f t="shared" si="6"/>
        <v>QUESTÃO 14</v>
      </c>
      <c r="Z5" s="5">
        <f t="shared" si="23"/>
        <v>0.23529411764705879</v>
      </c>
      <c r="AA5" s="6">
        <f t="shared" si="24"/>
        <v>0.76470588235294124</v>
      </c>
      <c r="AC5" s="4" t="str">
        <f t="shared" si="7"/>
        <v>QUESTÃO 14</v>
      </c>
      <c r="AD5" s="5">
        <f t="shared" si="25"/>
        <v>0.33333333333333326</v>
      </c>
      <c r="AE5" s="6">
        <f t="shared" si="26"/>
        <v>0.66666666666666674</v>
      </c>
      <c r="AG5" s="4" t="str">
        <f t="shared" si="8"/>
        <v>QUESTÃO 14</v>
      </c>
      <c r="AH5" s="5" t="e">
        <f t="shared" si="27"/>
        <v>#DIV/0!</v>
      </c>
      <c r="AI5" s="6" t="e">
        <f t="shared" si="28"/>
        <v>#DIV/0!</v>
      </c>
      <c r="AK5" s="4" t="str">
        <f t="shared" si="9"/>
        <v>QUESTÃO 14</v>
      </c>
      <c r="AL5" s="5" t="e">
        <f t="shared" si="29"/>
        <v>#DIV/0!</v>
      </c>
      <c r="AM5" s="6" t="e">
        <f t="shared" si="30"/>
        <v>#DIV/0!</v>
      </c>
      <c r="AO5" s="4" t="str">
        <f t="shared" si="10"/>
        <v>QUESTÃO 14</v>
      </c>
      <c r="AP5" s="5" t="e">
        <f t="shared" si="31"/>
        <v>#DIV/0!</v>
      </c>
      <c r="AQ5" s="6" t="e">
        <f t="shared" si="32"/>
        <v>#DIV/0!</v>
      </c>
    </row>
    <row r="6" spans="1:43" x14ac:dyDescent="0.25">
      <c r="A6" s="4" t="str">
        <f t="shared" si="0"/>
        <v>QUESTÃO 15</v>
      </c>
      <c r="B6" s="5">
        <f t="shared" si="11"/>
        <v>0.57692307692307687</v>
      </c>
      <c r="C6" s="6">
        <f t="shared" si="12"/>
        <v>0.42307692307692313</v>
      </c>
      <c r="E6" s="4" t="str">
        <f t="shared" si="1"/>
        <v>QUESTÃO 15</v>
      </c>
      <c r="F6" s="5">
        <f t="shared" si="13"/>
        <v>0.54545454545454541</v>
      </c>
      <c r="G6" s="6">
        <f t="shared" si="14"/>
        <v>0.45454545454545459</v>
      </c>
      <c r="I6" s="4" t="str">
        <f t="shared" si="2"/>
        <v>QUESTÃO 15</v>
      </c>
      <c r="J6" s="5">
        <f t="shared" si="15"/>
        <v>0.5</v>
      </c>
      <c r="K6" s="6">
        <f t="shared" si="16"/>
        <v>0.5</v>
      </c>
      <c r="M6" s="4" t="str">
        <f t="shared" si="3"/>
        <v>QUESTÃO 15</v>
      </c>
      <c r="N6" s="5">
        <f t="shared" si="17"/>
        <v>0.85</v>
      </c>
      <c r="O6" s="6">
        <f t="shared" si="18"/>
        <v>0.15000000000000002</v>
      </c>
      <c r="Q6" s="4" t="str">
        <f t="shared" si="4"/>
        <v>QUESTÃO 15</v>
      </c>
      <c r="R6" s="5">
        <f t="shared" si="19"/>
        <v>0.73684210526315785</v>
      </c>
      <c r="S6" s="6">
        <f t="shared" si="20"/>
        <v>0.26315789473684215</v>
      </c>
      <c r="U6" s="4" t="str">
        <f t="shared" si="5"/>
        <v>QUESTÃO 15</v>
      </c>
      <c r="V6" s="5">
        <f t="shared" si="21"/>
        <v>0.42105263157894735</v>
      </c>
      <c r="W6" s="6">
        <f t="shared" si="22"/>
        <v>0.57894736842105265</v>
      </c>
      <c r="Y6" s="4" t="str">
        <f t="shared" si="6"/>
        <v>QUESTÃO 15</v>
      </c>
      <c r="Z6" s="5">
        <f t="shared" si="23"/>
        <v>0.17647058823529413</v>
      </c>
      <c r="AA6" s="6">
        <f t="shared" si="24"/>
        <v>0.82352941176470584</v>
      </c>
      <c r="AC6" s="4" t="str">
        <f t="shared" si="7"/>
        <v>QUESTÃO 15</v>
      </c>
      <c r="AD6" s="5">
        <f t="shared" si="25"/>
        <v>0.33333333333333326</v>
      </c>
      <c r="AE6" s="6">
        <f t="shared" si="26"/>
        <v>0.66666666666666674</v>
      </c>
      <c r="AG6" s="4" t="str">
        <f t="shared" si="8"/>
        <v>QUESTÃO 15</v>
      </c>
      <c r="AH6" s="5" t="e">
        <f t="shared" si="27"/>
        <v>#DIV/0!</v>
      </c>
      <c r="AI6" s="6" t="e">
        <f t="shared" si="28"/>
        <v>#DIV/0!</v>
      </c>
      <c r="AK6" s="4" t="str">
        <f t="shared" si="9"/>
        <v>QUESTÃO 15</v>
      </c>
      <c r="AL6" s="5" t="e">
        <f t="shared" si="29"/>
        <v>#DIV/0!</v>
      </c>
      <c r="AM6" s="6" t="e">
        <f t="shared" si="30"/>
        <v>#DIV/0!</v>
      </c>
      <c r="AO6" s="4" t="str">
        <f t="shared" si="10"/>
        <v>QUESTÃO 15</v>
      </c>
      <c r="AP6" s="5" t="e">
        <f t="shared" si="31"/>
        <v>#DIV/0!</v>
      </c>
      <c r="AQ6" s="6" t="e">
        <f t="shared" si="32"/>
        <v>#DIV/0!</v>
      </c>
    </row>
    <row r="7" spans="1:43" x14ac:dyDescent="0.25">
      <c r="A7" s="4" t="str">
        <f t="shared" si="0"/>
        <v>QUESTÃO 16</v>
      </c>
      <c r="B7" s="5">
        <f t="shared" si="11"/>
        <v>0.26923076923076922</v>
      </c>
      <c r="C7" s="6">
        <f t="shared" si="12"/>
        <v>0.73076923076923084</v>
      </c>
      <c r="E7" s="4" t="str">
        <f t="shared" si="1"/>
        <v>QUESTÃO 16</v>
      </c>
      <c r="F7" s="5">
        <f t="shared" si="13"/>
        <v>0.77272727272727271</v>
      </c>
      <c r="G7" s="6">
        <f t="shared" si="14"/>
        <v>0.22727272727272729</v>
      </c>
      <c r="I7" s="4" t="str">
        <f t="shared" si="2"/>
        <v>QUESTÃO 16</v>
      </c>
      <c r="J7" s="5">
        <f t="shared" si="15"/>
        <v>0.58333333333333337</v>
      </c>
      <c r="K7" s="6">
        <f t="shared" si="16"/>
        <v>0.41666666666666663</v>
      </c>
      <c r="M7" s="4" t="str">
        <f t="shared" si="3"/>
        <v>QUESTÃO 16</v>
      </c>
      <c r="N7" s="5">
        <f t="shared" si="17"/>
        <v>0.85</v>
      </c>
      <c r="O7" s="6">
        <f t="shared" si="18"/>
        <v>0.15000000000000002</v>
      </c>
      <c r="Q7" s="4" t="str">
        <f t="shared" si="4"/>
        <v>QUESTÃO 16</v>
      </c>
      <c r="R7" s="5">
        <f t="shared" si="19"/>
        <v>0.63157894736842102</v>
      </c>
      <c r="S7" s="6">
        <f t="shared" si="20"/>
        <v>0.36842105263157898</v>
      </c>
      <c r="U7" s="4" t="str">
        <f t="shared" si="5"/>
        <v>QUESTÃO 16</v>
      </c>
      <c r="V7" s="5">
        <f t="shared" si="21"/>
        <v>0.68421052631578949</v>
      </c>
      <c r="W7" s="6">
        <f t="shared" si="22"/>
        <v>0.31578947368421051</v>
      </c>
      <c r="Y7" s="4" t="str">
        <f t="shared" si="6"/>
        <v>QUESTÃO 16</v>
      </c>
      <c r="Z7" s="5">
        <f t="shared" si="23"/>
        <v>0.70588235294117652</v>
      </c>
      <c r="AA7" s="6">
        <f t="shared" si="24"/>
        <v>0.29411764705882348</v>
      </c>
      <c r="AC7" s="4" t="str">
        <f t="shared" si="7"/>
        <v>QUESTÃO 16</v>
      </c>
      <c r="AD7" s="5">
        <f t="shared" si="25"/>
        <v>0.5</v>
      </c>
      <c r="AE7" s="6">
        <f t="shared" si="26"/>
        <v>0.5</v>
      </c>
      <c r="AG7" s="4" t="str">
        <f t="shared" si="8"/>
        <v>QUESTÃO 16</v>
      </c>
      <c r="AH7" s="5" t="e">
        <f t="shared" si="27"/>
        <v>#DIV/0!</v>
      </c>
      <c r="AI7" s="6" t="e">
        <f t="shared" si="28"/>
        <v>#DIV/0!</v>
      </c>
      <c r="AK7" s="4" t="str">
        <f t="shared" si="9"/>
        <v>QUESTÃO 16</v>
      </c>
      <c r="AL7" s="5" t="e">
        <f t="shared" si="29"/>
        <v>#DIV/0!</v>
      </c>
      <c r="AM7" s="6" t="e">
        <f t="shared" si="30"/>
        <v>#DIV/0!</v>
      </c>
      <c r="AO7" s="4" t="str">
        <f t="shared" si="10"/>
        <v>QUESTÃO 16</v>
      </c>
      <c r="AP7" s="5" t="e">
        <f t="shared" si="31"/>
        <v>#DIV/0!</v>
      </c>
      <c r="AQ7" s="6" t="e">
        <f t="shared" si="32"/>
        <v>#DIV/0!</v>
      </c>
    </row>
    <row r="8" spans="1:43" x14ac:dyDescent="0.25">
      <c r="A8" s="4" t="str">
        <f t="shared" si="0"/>
        <v>QUESTÃO 17</v>
      </c>
      <c r="B8" s="5">
        <f t="shared" si="11"/>
        <v>0.26923076923076922</v>
      </c>
      <c r="C8" s="6">
        <f t="shared" si="12"/>
        <v>0.73076923076923084</v>
      </c>
      <c r="E8" s="4" t="str">
        <f t="shared" si="1"/>
        <v>QUESTÃO 17</v>
      </c>
      <c r="F8" s="5">
        <f t="shared" si="13"/>
        <v>0.63636363636363635</v>
      </c>
      <c r="G8" s="6">
        <f t="shared" si="14"/>
        <v>0.36363636363636365</v>
      </c>
      <c r="I8" s="4" t="str">
        <f t="shared" si="2"/>
        <v>QUESTÃO 17</v>
      </c>
      <c r="J8" s="5">
        <f t="shared" si="15"/>
        <v>0.5</v>
      </c>
      <c r="K8" s="6">
        <f t="shared" si="16"/>
        <v>0.5</v>
      </c>
      <c r="M8" s="4" t="str">
        <f t="shared" si="3"/>
        <v>QUESTÃO 17</v>
      </c>
      <c r="N8" s="5">
        <f t="shared" si="17"/>
        <v>0.95</v>
      </c>
      <c r="O8" s="6">
        <f t="shared" si="18"/>
        <v>5.0000000000000044E-2</v>
      </c>
      <c r="Q8" s="4" t="str">
        <f t="shared" si="4"/>
        <v>QUESTÃO 17</v>
      </c>
      <c r="R8" s="5">
        <f t="shared" si="19"/>
        <v>0.21052631578947367</v>
      </c>
      <c r="S8" s="6">
        <f t="shared" si="20"/>
        <v>0.78947368421052633</v>
      </c>
      <c r="U8" s="4" t="str">
        <f t="shared" si="5"/>
        <v>QUESTÃO 17</v>
      </c>
      <c r="V8" s="5">
        <f t="shared" si="21"/>
        <v>0.42105263157894735</v>
      </c>
      <c r="W8" s="6">
        <f t="shared" si="22"/>
        <v>0.57894736842105265</v>
      </c>
      <c r="Y8" s="4" t="str">
        <f t="shared" si="6"/>
        <v>QUESTÃO 17</v>
      </c>
      <c r="Z8" s="5">
        <f t="shared" si="23"/>
        <v>0.29411764705882354</v>
      </c>
      <c r="AA8" s="6">
        <f t="shared" si="24"/>
        <v>0.70588235294117641</v>
      </c>
      <c r="AC8" s="4" t="str">
        <f t="shared" si="7"/>
        <v>QUESTÃO 17</v>
      </c>
      <c r="AD8" s="5">
        <f t="shared" si="25"/>
        <v>0.27777777777777779</v>
      </c>
      <c r="AE8" s="6">
        <f t="shared" si="26"/>
        <v>0.72222222222222221</v>
      </c>
      <c r="AG8" s="4" t="str">
        <f t="shared" si="8"/>
        <v>QUESTÃO 17</v>
      </c>
      <c r="AH8" s="5" t="e">
        <f t="shared" si="27"/>
        <v>#DIV/0!</v>
      </c>
      <c r="AI8" s="6" t="e">
        <f t="shared" si="28"/>
        <v>#DIV/0!</v>
      </c>
      <c r="AK8" s="4" t="str">
        <f t="shared" si="9"/>
        <v>QUESTÃO 17</v>
      </c>
      <c r="AL8" s="5" t="e">
        <f t="shared" si="29"/>
        <v>#DIV/0!</v>
      </c>
      <c r="AM8" s="6" t="e">
        <f t="shared" si="30"/>
        <v>#DIV/0!</v>
      </c>
      <c r="AO8" s="4" t="str">
        <f t="shared" si="10"/>
        <v>QUESTÃO 17</v>
      </c>
      <c r="AP8" s="5" t="e">
        <f t="shared" si="31"/>
        <v>#DIV/0!</v>
      </c>
      <c r="AQ8" s="6" t="e">
        <f t="shared" si="32"/>
        <v>#DIV/0!</v>
      </c>
    </row>
    <row r="9" spans="1:43" x14ac:dyDescent="0.25">
      <c r="A9" s="4" t="str">
        <f t="shared" si="0"/>
        <v>QUESTÃO 18</v>
      </c>
      <c r="B9" s="5">
        <f t="shared" si="11"/>
        <v>0.30769230769230771</v>
      </c>
      <c r="C9" s="6">
        <f t="shared" si="12"/>
        <v>0.69230769230769229</v>
      </c>
      <c r="E9" s="4" t="str">
        <f t="shared" si="1"/>
        <v>QUESTÃO 18</v>
      </c>
      <c r="F9" s="5">
        <f t="shared" si="13"/>
        <v>0.27272727272727271</v>
      </c>
      <c r="G9" s="6">
        <f t="shared" si="14"/>
        <v>0.72727272727272729</v>
      </c>
      <c r="I9" s="4" t="str">
        <f t="shared" si="2"/>
        <v>QUESTÃO 18</v>
      </c>
      <c r="J9" s="5">
        <f t="shared" si="15"/>
        <v>0.29166666666666669</v>
      </c>
      <c r="K9" s="6">
        <f t="shared" si="16"/>
        <v>0.70833333333333326</v>
      </c>
      <c r="M9" s="4" t="str">
        <f t="shared" si="3"/>
        <v>QUESTÃO 18</v>
      </c>
      <c r="N9" s="5">
        <f t="shared" si="17"/>
        <v>0.9</v>
      </c>
      <c r="O9" s="6">
        <f t="shared" si="18"/>
        <v>9.9999999999999978E-2</v>
      </c>
      <c r="Q9" s="4" t="str">
        <f t="shared" si="4"/>
        <v>QUESTÃO 18</v>
      </c>
      <c r="R9" s="5">
        <f t="shared" si="19"/>
        <v>0.26315789473684209</v>
      </c>
      <c r="S9" s="6">
        <f t="shared" si="20"/>
        <v>0.73684210526315796</v>
      </c>
      <c r="U9" s="4" t="str">
        <f t="shared" si="5"/>
        <v>QUESTÃO 18</v>
      </c>
      <c r="V9" s="5">
        <f t="shared" si="21"/>
        <v>0.21052631578947367</v>
      </c>
      <c r="W9" s="6">
        <f t="shared" si="22"/>
        <v>0.78947368421052633</v>
      </c>
      <c r="Y9" s="4" t="str">
        <f t="shared" si="6"/>
        <v>QUESTÃO 18</v>
      </c>
      <c r="Z9" s="5">
        <f t="shared" si="23"/>
        <v>0.29411764705882354</v>
      </c>
      <c r="AA9" s="6">
        <f t="shared" si="24"/>
        <v>0.70588235294117641</v>
      </c>
      <c r="AC9" s="4" t="str">
        <f t="shared" si="7"/>
        <v>QUESTÃO 18</v>
      </c>
      <c r="AD9" s="5">
        <f t="shared" si="25"/>
        <v>0.16666666666666663</v>
      </c>
      <c r="AE9" s="6">
        <f t="shared" si="26"/>
        <v>0.83333333333333337</v>
      </c>
      <c r="AG9" s="4" t="str">
        <f t="shared" si="8"/>
        <v>QUESTÃO 18</v>
      </c>
      <c r="AH9" s="5" t="e">
        <f t="shared" si="27"/>
        <v>#DIV/0!</v>
      </c>
      <c r="AI9" s="6" t="e">
        <f t="shared" si="28"/>
        <v>#DIV/0!</v>
      </c>
      <c r="AK9" s="4" t="str">
        <f t="shared" si="9"/>
        <v>QUESTÃO 18</v>
      </c>
      <c r="AL9" s="5" t="e">
        <f t="shared" si="29"/>
        <v>#DIV/0!</v>
      </c>
      <c r="AM9" s="6" t="e">
        <f t="shared" si="30"/>
        <v>#DIV/0!</v>
      </c>
      <c r="AO9" s="4" t="str">
        <f t="shared" si="10"/>
        <v>QUESTÃO 18</v>
      </c>
      <c r="AP9" s="5" t="e">
        <f t="shared" si="31"/>
        <v>#DIV/0!</v>
      </c>
      <c r="AQ9" s="6" t="e">
        <f t="shared" si="32"/>
        <v>#DIV/0!</v>
      </c>
    </row>
    <row r="10" spans="1:43" x14ac:dyDescent="0.25">
      <c r="A10" s="4" t="str">
        <f t="shared" si="0"/>
        <v>QUESTÃO 19</v>
      </c>
      <c r="B10" s="5">
        <f t="shared" si="11"/>
        <v>0.19230769230769235</v>
      </c>
      <c r="C10" s="6">
        <f t="shared" si="12"/>
        <v>0.80769230769230771</v>
      </c>
      <c r="E10" s="4" t="str">
        <f t="shared" si="1"/>
        <v>QUESTÃO 19</v>
      </c>
      <c r="F10" s="5">
        <f t="shared" si="13"/>
        <v>0.59090909090909094</v>
      </c>
      <c r="G10" s="6">
        <f t="shared" si="14"/>
        <v>0.40909090909090906</v>
      </c>
      <c r="I10" s="4" t="str">
        <f t="shared" si="2"/>
        <v>QUESTÃO 19</v>
      </c>
      <c r="J10" s="5">
        <f t="shared" si="15"/>
        <v>0.5</v>
      </c>
      <c r="K10" s="6">
        <f t="shared" si="16"/>
        <v>0.5</v>
      </c>
      <c r="M10" s="4" t="str">
        <f t="shared" si="3"/>
        <v>QUESTÃO 19</v>
      </c>
      <c r="N10" s="5">
        <f t="shared" si="17"/>
        <v>0.95</v>
      </c>
      <c r="O10" s="6">
        <f t="shared" si="18"/>
        <v>5.0000000000000044E-2</v>
      </c>
      <c r="Q10" s="4" t="str">
        <f t="shared" si="4"/>
        <v>QUESTÃO 19</v>
      </c>
      <c r="R10" s="5">
        <f t="shared" si="19"/>
        <v>0.26315789473684209</v>
      </c>
      <c r="S10" s="6">
        <f t="shared" si="20"/>
        <v>0.73684210526315796</v>
      </c>
      <c r="U10" s="4" t="str">
        <f t="shared" si="5"/>
        <v>QUESTÃO 19</v>
      </c>
      <c r="V10" s="5">
        <f t="shared" si="21"/>
        <v>0.26315789473684209</v>
      </c>
      <c r="W10" s="6">
        <f t="shared" si="22"/>
        <v>0.73684210526315796</v>
      </c>
      <c r="Y10" s="4" t="str">
        <f t="shared" si="6"/>
        <v>QUESTÃO 19</v>
      </c>
      <c r="Z10" s="5">
        <f t="shared" si="23"/>
        <v>0.17647058823529413</v>
      </c>
      <c r="AA10" s="6">
        <f t="shared" si="24"/>
        <v>0.82352941176470584</v>
      </c>
      <c r="AC10" s="4" t="str">
        <f t="shared" si="7"/>
        <v>QUESTÃO 19</v>
      </c>
      <c r="AD10" s="5">
        <f t="shared" si="25"/>
        <v>0.1111111111111111</v>
      </c>
      <c r="AE10" s="6">
        <f t="shared" si="26"/>
        <v>0.88888888888888884</v>
      </c>
      <c r="AG10" s="4" t="str">
        <f t="shared" si="8"/>
        <v>QUESTÃO 19</v>
      </c>
      <c r="AH10" s="5" t="e">
        <f t="shared" si="27"/>
        <v>#DIV/0!</v>
      </c>
      <c r="AI10" s="6" t="e">
        <f t="shared" si="28"/>
        <v>#DIV/0!</v>
      </c>
      <c r="AK10" s="4" t="str">
        <f t="shared" si="9"/>
        <v>QUESTÃO 19</v>
      </c>
      <c r="AL10" s="5" t="e">
        <f t="shared" si="29"/>
        <v>#DIV/0!</v>
      </c>
      <c r="AM10" s="6" t="e">
        <f t="shared" si="30"/>
        <v>#DIV/0!</v>
      </c>
      <c r="AO10" s="4" t="str">
        <f t="shared" si="10"/>
        <v>QUESTÃO 19</v>
      </c>
      <c r="AP10" s="5" t="e">
        <f t="shared" si="31"/>
        <v>#DIV/0!</v>
      </c>
      <c r="AQ10" s="6" t="e">
        <f t="shared" si="32"/>
        <v>#DIV/0!</v>
      </c>
    </row>
    <row r="11" spans="1:43" ht="15.75" thickBot="1" x14ac:dyDescent="0.3">
      <c r="A11" s="16" t="str">
        <f t="shared" si="0"/>
        <v>QUESTÃO 20</v>
      </c>
      <c r="B11" s="5">
        <f t="shared" si="11"/>
        <v>0.30769230769230771</v>
      </c>
      <c r="C11" s="6">
        <f t="shared" si="12"/>
        <v>0.69230769230769229</v>
      </c>
      <c r="E11" s="16" t="str">
        <f t="shared" si="1"/>
        <v>QUESTÃO 20</v>
      </c>
      <c r="F11" s="5">
        <f t="shared" si="13"/>
        <v>0.36363636363636365</v>
      </c>
      <c r="G11" s="6">
        <f t="shared" si="14"/>
        <v>0.63636363636363635</v>
      </c>
      <c r="I11" s="16" t="str">
        <f t="shared" si="2"/>
        <v>QUESTÃO 20</v>
      </c>
      <c r="J11" s="5">
        <f t="shared" si="15"/>
        <v>0.70833333333333348</v>
      </c>
      <c r="K11" s="6">
        <f>100%-J11</f>
        <v>0.29166666666666652</v>
      </c>
      <c r="M11" s="16" t="str">
        <f t="shared" si="3"/>
        <v>QUESTÃO 20</v>
      </c>
      <c r="N11" s="5">
        <f t="shared" si="17"/>
        <v>0.95</v>
      </c>
      <c r="O11" s="6">
        <f t="shared" si="18"/>
        <v>5.0000000000000044E-2</v>
      </c>
      <c r="Q11" s="16" t="str">
        <f t="shared" si="4"/>
        <v>QUESTÃO 20</v>
      </c>
      <c r="R11" s="5">
        <f t="shared" si="19"/>
        <v>0.52631578947368418</v>
      </c>
      <c r="S11" s="6">
        <f t="shared" si="20"/>
        <v>0.47368421052631582</v>
      </c>
      <c r="U11" s="16" t="str">
        <f t="shared" si="5"/>
        <v>QUESTÃO 20</v>
      </c>
      <c r="V11" s="5">
        <f t="shared" si="21"/>
        <v>0.36842105263157893</v>
      </c>
      <c r="W11" s="6">
        <f t="shared" si="22"/>
        <v>0.63157894736842102</v>
      </c>
      <c r="Y11" s="16" t="str">
        <f t="shared" si="6"/>
        <v>QUESTÃO 20</v>
      </c>
      <c r="Z11" s="5">
        <f t="shared" si="23"/>
        <v>0.52941176470588236</v>
      </c>
      <c r="AA11" s="6">
        <f t="shared" si="24"/>
        <v>0.47058823529411764</v>
      </c>
      <c r="AC11" s="16" t="str">
        <f t="shared" si="7"/>
        <v>QUESTÃO 20</v>
      </c>
      <c r="AD11" s="5">
        <f t="shared" si="25"/>
        <v>0.44444444444444442</v>
      </c>
      <c r="AE11" s="6">
        <f t="shared" si="26"/>
        <v>0.55555555555555558</v>
      </c>
      <c r="AG11" s="16" t="str">
        <f t="shared" si="8"/>
        <v>QUESTÃO 20</v>
      </c>
      <c r="AH11" s="5" t="e">
        <f t="shared" si="27"/>
        <v>#DIV/0!</v>
      </c>
      <c r="AI11" s="6" t="e">
        <f t="shared" si="28"/>
        <v>#DIV/0!</v>
      </c>
      <c r="AK11" s="16" t="str">
        <f t="shared" si="9"/>
        <v>QUESTÃO 20</v>
      </c>
      <c r="AL11" s="5" t="e">
        <f t="shared" si="29"/>
        <v>#DIV/0!</v>
      </c>
      <c r="AM11" s="6" t="e">
        <f t="shared" si="30"/>
        <v>#DIV/0!</v>
      </c>
      <c r="AO11" s="16" t="str">
        <f t="shared" si="10"/>
        <v>QUESTÃO 20</v>
      </c>
      <c r="AP11" s="5" t="e">
        <f t="shared" si="31"/>
        <v>#DIV/0!</v>
      </c>
      <c r="AQ11" s="6" t="e">
        <f t="shared" si="32"/>
        <v>#DIV/0!</v>
      </c>
    </row>
    <row r="12" spans="1:43" x14ac:dyDescent="0.25">
      <c r="A12" s="15" t="str">
        <f t="shared" si="0"/>
        <v/>
      </c>
      <c r="B12" s="11"/>
      <c r="C12" s="11"/>
      <c r="E12" t="str">
        <f t="shared" si="1"/>
        <v/>
      </c>
      <c r="F12" s="11"/>
      <c r="G12" s="11"/>
      <c r="I12" t="str">
        <f t="shared" si="2"/>
        <v/>
      </c>
      <c r="J12" s="11"/>
      <c r="K12" s="11"/>
      <c r="M12" t="str">
        <f t="shared" si="3"/>
        <v/>
      </c>
      <c r="N12" s="11"/>
      <c r="O12" s="11"/>
      <c r="Q12" t="str">
        <f t="shared" si="4"/>
        <v/>
      </c>
      <c r="R12" s="11"/>
      <c r="S12" s="11"/>
      <c r="U12" t="str">
        <f t="shared" si="5"/>
        <v/>
      </c>
      <c r="V12" s="11"/>
      <c r="W12" s="11"/>
      <c r="Y12" t="str">
        <f t="shared" si="6"/>
        <v/>
      </c>
      <c r="Z12" s="11"/>
      <c r="AA12" s="11"/>
      <c r="AC12" t="str">
        <f t="shared" si="7"/>
        <v/>
      </c>
      <c r="AD12" s="11"/>
      <c r="AE12" s="11"/>
      <c r="AG12" t="str">
        <f t="shared" si="8"/>
        <v/>
      </c>
      <c r="AH12" s="11"/>
      <c r="AI12" s="11"/>
      <c r="AK12" t="str">
        <f t="shared" si="9"/>
        <v/>
      </c>
      <c r="AL12" s="11"/>
      <c r="AM12" s="11"/>
      <c r="AO12" t="str">
        <f t="shared" si="10"/>
        <v/>
      </c>
      <c r="AP12" s="11"/>
      <c r="AQ12" s="11"/>
    </row>
    <row r="13" spans="1:43" ht="15.75" thickBot="1" x14ac:dyDescent="0.3">
      <c r="B13" s="11"/>
      <c r="C13" s="11"/>
      <c r="F13" s="11"/>
      <c r="G13" s="11"/>
      <c r="J13" s="11"/>
      <c r="K13" s="11"/>
      <c r="N13" s="11"/>
      <c r="O13" s="11"/>
      <c r="R13" s="11"/>
      <c r="S13" s="11"/>
      <c r="V13" s="11"/>
      <c r="W13" s="11"/>
      <c r="Z13" s="11"/>
      <c r="AA13" s="11"/>
      <c r="AD13" s="11"/>
      <c r="AE13" s="11"/>
      <c r="AH13" s="11"/>
      <c r="AI13" s="11"/>
      <c r="AL13" s="11"/>
      <c r="AM13" s="11"/>
      <c r="AP13" s="11"/>
      <c r="AQ13" s="11"/>
    </row>
    <row r="14" spans="1:43" ht="15.75" thickBot="1" x14ac:dyDescent="0.3">
      <c r="A14" s="58" t="s">
        <v>12</v>
      </c>
      <c r="B14" s="59"/>
      <c r="C14" s="60"/>
      <c r="E14" s="58" t="s">
        <v>12</v>
      </c>
      <c r="F14" s="59"/>
      <c r="G14" s="60"/>
      <c r="H14" s="12"/>
      <c r="I14" s="58" t="s">
        <v>12</v>
      </c>
      <c r="J14" s="59"/>
      <c r="K14" s="60"/>
      <c r="M14" s="58" t="s">
        <v>12</v>
      </c>
      <c r="N14" s="59"/>
      <c r="O14" s="60"/>
      <c r="Q14" s="58" t="s">
        <v>12</v>
      </c>
      <c r="R14" s="59"/>
      <c r="S14" s="60"/>
      <c r="U14" s="58" t="s">
        <v>12</v>
      </c>
      <c r="V14" s="59"/>
      <c r="W14" s="60"/>
      <c r="Y14" s="58" t="s">
        <v>12</v>
      </c>
      <c r="Z14" s="59"/>
      <c r="AA14" s="60"/>
      <c r="AC14" s="58" t="s">
        <v>12</v>
      </c>
      <c r="AD14" s="59"/>
      <c r="AE14" s="60"/>
      <c r="AG14" s="58" t="s">
        <v>12</v>
      </c>
      <c r="AH14" s="59"/>
      <c r="AI14" s="60"/>
      <c r="AK14" s="58" t="s">
        <v>12</v>
      </c>
      <c r="AL14" s="59"/>
      <c r="AM14" s="60"/>
      <c r="AO14" s="58" t="s">
        <v>12</v>
      </c>
      <c r="AP14" s="59"/>
      <c r="AQ14" s="60"/>
    </row>
    <row r="15" spans="1:43" ht="15.75" thickBot="1" x14ac:dyDescent="0.3">
      <c r="A15" s="14" t="s">
        <v>24</v>
      </c>
      <c r="B15" s="29">
        <v>8</v>
      </c>
      <c r="C15" s="76"/>
      <c r="D15" s="9"/>
      <c r="E15" s="14"/>
      <c r="F15" s="36">
        <v>7</v>
      </c>
      <c r="G15" s="76"/>
      <c r="H15" s="13"/>
      <c r="I15" s="14" t="s">
        <v>24</v>
      </c>
      <c r="J15" s="25">
        <v>7</v>
      </c>
      <c r="K15" s="76"/>
      <c r="L15" s="9"/>
      <c r="M15" s="14" t="s">
        <v>24</v>
      </c>
      <c r="N15" s="25">
        <v>14</v>
      </c>
      <c r="O15" s="76"/>
      <c r="P15" s="9"/>
      <c r="Q15" s="14" t="s">
        <v>24</v>
      </c>
      <c r="R15" s="25">
        <v>7</v>
      </c>
      <c r="S15" s="76"/>
      <c r="T15" s="42"/>
      <c r="U15" s="14" t="s">
        <v>24</v>
      </c>
      <c r="V15" s="25">
        <v>6</v>
      </c>
      <c r="W15" s="76"/>
      <c r="Y15" s="14" t="s">
        <v>24</v>
      </c>
      <c r="Z15" s="25">
        <v>4</v>
      </c>
      <c r="AA15" s="76"/>
      <c r="AC15" s="14" t="s">
        <v>24</v>
      </c>
      <c r="AD15" s="25">
        <v>3</v>
      </c>
      <c r="AE15" s="76"/>
      <c r="AG15" s="14" t="s">
        <v>24</v>
      </c>
      <c r="AH15" s="29"/>
      <c r="AI15" s="76"/>
      <c r="AK15" s="14" t="s">
        <v>24</v>
      </c>
      <c r="AL15" s="29"/>
      <c r="AM15" s="76"/>
      <c r="AO15" s="14" t="s">
        <v>24</v>
      </c>
      <c r="AP15" s="29"/>
      <c r="AQ15" s="76"/>
    </row>
    <row r="16" spans="1:43" ht="15.75" thickBot="1" x14ac:dyDescent="0.3">
      <c r="A16" s="14" t="s">
        <v>25</v>
      </c>
      <c r="B16" s="14">
        <v>11</v>
      </c>
      <c r="C16" s="77"/>
      <c r="D16" s="9"/>
      <c r="E16" s="14"/>
      <c r="F16" s="14">
        <v>3</v>
      </c>
      <c r="G16" s="79"/>
      <c r="H16" s="9"/>
      <c r="I16" s="14" t="s">
        <v>25</v>
      </c>
      <c r="J16" s="26">
        <v>10</v>
      </c>
      <c r="K16" s="77"/>
      <c r="L16" s="9"/>
      <c r="M16" s="14" t="s">
        <v>25</v>
      </c>
      <c r="N16" s="26">
        <v>18</v>
      </c>
      <c r="O16" s="77"/>
      <c r="P16" s="9"/>
      <c r="Q16" s="14" t="s">
        <v>25</v>
      </c>
      <c r="R16" s="26">
        <v>7</v>
      </c>
      <c r="S16" s="77"/>
      <c r="U16" s="14" t="s">
        <v>25</v>
      </c>
      <c r="V16" s="26">
        <v>7</v>
      </c>
      <c r="W16" s="77"/>
      <c r="Y16" s="14" t="s">
        <v>25</v>
      </c>
      <c r="Z16" s="26">
        <v>6</v>
      </c>
      <c r="AA16" s="77"/>
      <c r="AC16" s="14" t="s">
        <v>25</v>
      </c>
      <c r="AD16" s="26">
        <v>5</v>
      </c>
      <c r="AE16" s="77"/>
      <c r="AG16" s="14" t="s">
        <v>25</v>
      </c>
      <c r="AH16" s="14"/>
      <c r="AI16" s="77"/>
      <c r="AK16" s="14" t="s">
        <v>25</v>
      </c>
      <c r="AL16" s="14"/>
      <c r="AM16" s="77"/>
      <c r="AO16" s="14" t="s">
        <v>25</v>
      </c>
      <c r="AP16" s="14"/>
      <c r="AQ16" s="77"/>
    </row>
    <row r="17" spans="1:43" ht="15.75" thickBot="1" x14ac:dyDescent="0.3">
      <c r="A17" s="14" t="s">
        <v>26</v>
      </c>
      <c r="B17" s="14">
        <v>9</v>
      </c>
      <c r="C17" s="77"/>
      <c r="D17" s="9"/>
      <c r="E17" s="14"/>
      <c r="F17" s="30">
        <v>2</v>
      </c>
      <c r="G17" s="79"/>
      <c r="H17" s="9"/>
      <c r="I17" s="14" t="s">
        <v>26</v>
      </c>
      <c r="J17" s="26">
        <v>7</v>
      </c>
      <c r="K17" s="77"/>
      <c r="L17" s="9"/>
      <c r="M17" s="14" t="s">
        <v>26</v>
      </c>
      <c r="N17" s="26">
        <v>16</v>
      </c>
      <c r="O17" s="77"/>
      <c r="P17" s="9"/>
      <c r="Q17" s="14" t="s">
        <v>26</v>
      </c>
      <c r="R17" s="26">
        <v>8</v>
      </c>
      <c r="S17" s="77"/>
      <c r="U17" s="14" t="s">
        <v>26</v>
      </c>
      <c r="V17" s="26">
        <v>3</v>
      </c>
      <c r="W17" s="77"/>
      <c r="Y17" s="14" t="s">
        <v>26</v>
      </c>
      <c r="Z17" s="26">
        <v>6</v>
      </c>
      <c r="AA17" s="77"/>
      <c r="AC17" s="14" t="s">
        <v>26</v>
      </c>
      <c r="AD17" s="26">
        <v>3</v>
      </c>
      <c r="AE17" s="77"/>
      <c r="AG17" s="14" t="s">
        <v>26</v>
      </c>
      <c r="AH17" s="14"/>
      <c r="AI17" s="77"/>
      <c r="AK17" s="14" t="s">
        <v>26</v>
      </c>
      <c r="AL17" s="14"/>
      <c r="AM17" s="77"/>
      <c r="AO17" s="14" t="s">
        <v>26</v>
      </c>
      <c r="AP17" s="14"/>
      <c r="AQ17" s="77"/>
    </row>
    <row r="18" spans="1:43" ht="15.75" thickBot="1" x14ac:dyDescent="0.3">
      <c r="A18" s="14" t="s">
        <v>27</v>
      </c>
      <c r="B18" s="14">
        <v>11</v>
      </c>
      <c r="C18" s="77"/>
      <c r="D18" s="9"/>
      <c r="E18" s="14"/>
      <c r="F18" s="14">
        <v>11</v>
      </c>
      <c r="G18" s="79"/>
      <c r="H18" s="9"/>
      <c r="I18" s="14" t="s">
        <v>27</v>
      </c>
      <c r="J18" s="26">
        <v>10</v>
      </c>
      <c r="K18" s="77"/>
      <c r="L18" s="9"/>
      <c r="M18" s="14" t="s">
        <v>27</v>
      </c>
      <c r="N18" s="26">
        <v>19</v>
      </c>
      <c r="O18" s="77"/>
      <c r="P18" s="9"/>
      <c r="Q18" s="14" t="s">
        <v>27</v>
      </c>
      <c r="R18" s="26">
        <v>14</v>
      </c>
      <c r="S18" s="77"/>
      <c r="U18" s="14" t="s">
        <v>27</v>
      </c>
      <c r="V18" s="26">
        <v>8</v>
      </c>
      <c r="W18" s="77"/>
      <c r="Y18" s="14" t="s">
        <v>27</v>
      </c>
      <c r="Z18" s="26">
        <v>4</v>
      </c>
      <c r="AA18" s="77"/>
      <c r="AC18" s="14" t="s">
        <v>27</v>
      </c>
      <c r="AD18" s="26">
        <v>6</v>
      </c>
      <c r="AE18" s="77"/>
      <c r="AG18" s="14" t="s">
        <v>27</v>
      </c>
      <c r="AH18" s="30"/>
      <c r="AI18" s="77"/>
      <c r="AK18" s="14" t="s">
        <v>27</v>
      </c>
      <c r="AL18" s="30"/>
      <c r="AM18" s="77"/>
      <c r="AO18" s="14" t="s">
        <v>27</v>
      </c>
      <c r="AP18" s="30"/>
      <c r="AQ18" s="77"/>
    </row>
    <row r="19" spans="1:43" ht="15.75" thickBot="1" x14ac:dyDescent="0.3">
      <c r="A19" s="14" t="s">
        <v>28</v>
      </c>
      <c r="B19" s="14">
        <v>15</v>
      </c>
      <c r="C19" s="77"/>
      <c r="D19" s="9"/>
      <c r="E19" s="14"/>
      <c r="F19" s="14">
        <v>12</v>
      </c>
      <c r="G19" s="79"/>
      <c r="H19" s="9"/>
      <c r="I19" s="14" t="s">
        <v>28</v>
      </c>
      <c r="J19" s="26">
        <v>12</v>
      </c>
      <c r="K19" s="77"/>
      <c r="L19" s="9"/>
      <c r="M19" s="14" t="s">
        <v>28</v>
      </c>
      <c r="N19" s="26">
        <v>17</v>
      </c>
      <c r="O19" s="77"/>
      <c r="P19" s="9"/>
      <c r="Q19" s="14" t="s">
        <v>28</v>
      </c>
      <c r="R19" s="26">
        <v>14</v>
      </c>
      <c r="S19" s="77"/>
      <c r="U19" s="14" t="s">
        <v>28</v>
      </c>
      <c r="V19" s="26">
        <v>8</v>
      </c>
      <c r="W19" s="77"/>
      <c r="Y19" s="14" t="s">
        <v>28</v>
      </c>
      <c r="Z19" s="26">
        <v>3</v>
      </c>
      <c r="AA19" s="77"/>
      <c r="AC19" s="14" t="s">
        <v>28</v>
      </c>
      <c r="AD19" s="26">
        <v>6</v>
      </c>
      <c r="AE19" s="77"/>
      <c r="AG19" s="14" t="s">
        <v>28</v>
      </c>
      <c r="AH19" s="28"/>
      <c r="AI19" s="77"/>
      <c r="AK19" s="14" t="s">
        <v>28</v>
      </c>
      <c r="AL19" s="28"/>
      <c r="AM19" s="77"/>
      <c r="AO19" s="14" t="s">
        <v>28</v>
      </c>
      <c r="AP19" s="28"/>
      <c r="AQ19" s="77"/>
    </row>
    <row r="20" spans="1:43" ht="15.75" thickBot="1" x14ac:dyDescent="0.3">
      <c r="A20" s="14" t="s">
        <v>7</v>
      </c>
      <c r="B20" s="14">
        <v>7</v>
      </c>
      <c r="C20" s="77"/>
      <c r="D20" s="9"/>
      <c r="E20" s="14"/>
      <c r="F20" s="14">
        <v>17</v>
      </c>
      <c r="G20" s="79"/>
      <c r="H20" s="9"/>
      <c r="I20" s="14" t="s">
        <v>7</v>
      </c>
      <c r="J20" s="26">
        <v>14</v>
      </c>
      <c r="K20" s="77"/>
      <c r="L20" s="9"/>
      <c r="M20" s="14" t="s">
        <v>7</v>
      </c>
      <c r="N20" s="26">
        <v>17</v>
      </c>
      <c r="O20" s="77"/>
      <c r="P20" s="9"/>
      <c r="Q20" s="14" t="s">
        <v>7</v>
      </c>
      <c r="R20" s="26">
        <v>12</v>
      </c>
      <c r="S20" s="77"/>
      <c r="U20" s="14" t="s">
        <v>7</v>
      </c>
      <c r="V20" s="26">
        <v>13</v>
      </c>
      <c r="W20" s="77"/>
      <c r="Y20" s="14" t="s">
        <v>7</v>
      </c>
      <c r="Z20" s="26">
        <v>12</v>
      </c>
      <c r="AA20" s="77"/>
      <c r="AC20" s="14" t="s">
        <v>7</v>
      </c>
      <c r="AD20" s="26">
        <v>9</v>
      </c>
      <c r="AE20" s="77"/>
      <c r="AG20" s="14" t="s">
        <v>7</v>
      </c>
      <c r="AH20" s="14"/>
      <c r="AI20" s="77"/>
      <c r="AK20" s="14" t="s">
        <v>7</v>
      </c>
      <c r="AL20" s="14"/>
      <c r="AM20" s="77"/>
      <c r="AO20" s="14" t="s">
        <v>7</v>
      </c>
      <c r="AP20" s="14"/>
      <c r="AQ20" s="77"/>
    </row>
    <row r="21" spans="1:43" ht="15.75" thickBot="1" x14ac:dyDescent="0.3">
      <c r="A21" s="14" t="s">
        <v>8</v>
      </c>
      <c r="B21" s="28">
        <v>7</v>
      </c>
      <c r="C21" s="77"/>
      <c r="D21" s="9"/>
      <c r="E21" s="14"/>
      <c r="F21" s="14">
        <v>14</v>
      </c>
      <c r="G21" s="79"/>
      <c r="H21" s="9"/>
      <c r="I21" s="14" t="s">
        <v>8</v>
      </c>
      <c r="J21" s="26">
        <v>12</v>
      </c>
      <c r="K21" s="77"/>
      <c r="L21" s="9"/>
      <c r="M21" s="14" t="s">
        <v>8</v>
      </c>
      <c r="N21" s="26">
        <v>19</v>
      </c>
      <c r="O21" s="77"/>
      <c r="P21" s="9"/>
      <c r="Q21" s="14" t="s">
        <v>8</v>
      </c>
      <c r="R21" s="26">
        <v>4</v>
      </c>
      <c r="S21" s="77"/>
      <c r="U21" s="14" t="s">
        <v>8</v>
      </c>
      <c r="V21" s="26">
        <v>8</v>
      </c>
      <c r="W21" s="77"/>
      <c r="Y21" s="14" t="s">
        <v>8</v>
      </c>
      <c r="Z21" s="26">
        <v>5</v>
      </c>
      <c r="AA21" s="77"/>
      <c r="AC21" s="14" t="s">
        <v>8</v>
      </c>
      <c r="AD21" s="26">
        <v>5</v>
      </c>
      <c r="AE21" s="77"/>
      <c r="AG21" s="14" t="s">
        <v>8</v>
      </c>
      <c r="AH21" s="30"/>
      <c r="AI21" s="77"/>
      <c r="AK21" s="14" t="s">
        <v>8</v>
      </c>
      <c r="AL21" s="30"/>
      <c r="AM21" s="77"/>
      <c r="AO21" s="14" t="s">
        <v>8</v>
      </c>
      <c r="AP21" s="30"/>
      <c r="AQ21" s="77"/>
    </row>
    <row r="22" spans="1:43" ht="15.75" thickBot="1" x14ac:dyDescent="0.3">
      <c r="A22" s="14" t="s">
        <v>9</v>
      </c>
      <c r="B22" s="14">
        <v>8</v>
      </c>
      <c r="C22" s="77"/>
      <c r="D22" s="9"/>
      <c r="E22" s="14"/>
      <c r="F22" s="14">
        <v>6</v>
      </c>
      <c r="G22" s="79"/>
      <c r="H22" s="9"/>
      <c r="I22" s="14" t="s">
        <v>9</v>
      </c>
      <c r="J22" s="26">
        <v>7</v>
      </c>
      <c r="K22" s="77"/>
      <c r="L22" s="9"/>
      <c r="M22" s="14" t="s">
        <v>9</v>
      </c>
      <c r="N22" s="26">
        <v>18</v>
      </c>
      <c r="O22" s="77"/>
      <c r="P22" s="9"/>
      <c r="Q22" s="14" t="s">
        <v>9</v>
      </c>
      <c r="R22" s="26">
        <v>5</v>
      </c>
      <c r="S22" s="77"/>
      <c r="U22" s="14" t="s">
        <v>9</v>
      </c>
      <c r="V22" s="26">
        <v>4</v>
      </c>
      <c r="W22" s="77"/>
      <c r="Y22" s="14" t="s">
        <v>9</v>
      </c>
      <c r="Z22" s="26">
        <v>5</v>
      </c>
      <c r="AA22" s="77"/>
      <c r="AC22" s="14" t="s">
        <v>9</v>
      </c>
      <c r="AD22" s="26">
        <v>3</v>
      </c>
      <c r="AE22" s="77"/>
      <c r="AG22" s="14" t="s">
        <v>9</v>
      </c>
      <c r="AH22" s="28"/>
      <c r="AI22" s="77"/>
      <c r="AK22" s="14" t="s">
        <v>9</v>
      </c>
      <c r="AL22" s="28"/>
      <c r="AM22" s="77"/>
      <c r="AO22" s="14" t="s">
        <v>9</v>
      </c>
      <c r="AP22" s="28"/>
      <c r="AQ22" s="77"/>
    </row>
    <row r="23" spans="1:43" ht="15.75" thickBot="1" x14ac:dyDescent="0.3">
      <c r="A23" s="14" t="s">
        <v>10</v>
      </c>
      <c r="B23" s="28">
        <v>5</v>
      </c>
      <c r="C23" s="77"/>
      <c r="D23" s="9"/>
      <c r="E23" s="14"/>
      <c r="F23" s="14">
        <v>13</v>
      </c>
      <c r="G23" s="79"/>
      <c r="H23" s="9"/>
      <c r="I23" s="14" t="s">
        <v>10</v>
      </c>
      <c r="J23" s="26">
        <v>12</v>
      </c>
      <c r="K23" s="77"/>
      <c r="L23" s="9"/>
      <c r="M23" s="14" t="s">
        <v>10</v>
      </c>
      <c r="N23" s="26">
        <v>19</v>
      </c>
      <c r="O23" s="77"/>
      <c r="P23" s="9"/>
      <c r="Q23" s="14" t="s">
        <v>10</v>
      </c>
      <c r="R23" s="26">
        <v>5</v>
      </c>
      <c r="S23" s="77"/>
      <c r="U23" s="14" t="s">
        <v>10</v>
      </c>
      <c r="V23" s="26">
        <v>5</v>
      </c>
      <c r="W23" s="77"/>
      <c r="Y23" s="14" t="s">
        <v>10</v>
      </c>
      <c r="Z23" s="26">
        <v>3</v>
      </c>
      <c r="AA23" s="77"/>
      <c r="AC23" s="14" t="s">
        <v>10</v>
      </c>
      <c r="AD23" s="26">
        <v>2</v>
      </c>
      <c r="AE23" s="77"/>
      <c r="AG23" s="14" t="s">
        <v>10</v>
      </c>
      <c r="AH23" s="14"/>
      <c r="AI23" s="77"/>
      <c r="AK23" s="14" t="s">
        <v>10</v>
      </c>
      <c r="AL23" s="14"/>
      <c r="AM23" s="77"/>
      <c r="AO23" s="14" t="s">
        <v>10</v>
      </c>
      <c r="AP23" s="14"/>
      <c r="AQ23" s="77"/>
    </row>
    <row r="24" spans="1:43" ht="15.75" thickBot="1" x14ac:dyDescent="0.3">
      <c r="A24" s="14" t="s">
        <v>11</v>
      </c>
      <c r="B24" s="27">
        <v>8</v>
      </c>
      <c r="C24" s="78"/>
      <c r="D24" s="9"/>
      <c r="E24" s="14"/>
      <c r="F24" s="31">
        <v>8</v>
      </c>
      <c r="G24" s="80"/>
      <c r="H24" s="9"/>
      <c r="I24" s="14" t="s">
        <v>11</v>
      </c>
      <c r="J24" s="26">
        <v>17</v>
      </c>
      <c r="K24" s="78"/>
      <c r="L24" s="9"/>
      <c r="M24" s="14" t="s">
        <v>11</v>
      </c>
      <c r="N24" s="26">
        <v>19</v>
      </c>
      <c r="O24" s="78"/>
      <c r="P24" s="9"/>
      <c r="Q24" s="14" t="s">
        <v>11</v>
      </c>
      <c r="R24" s="26">
        <v>10</v>
      </c>
      <c r="S24" s="78"/>
      <c r="U24" s="14" t="s">
        <v>11</v>
      </c>
      <c r="V24" s="26">
        <v>7</v>
      </c>
      <c r="W24" s="78"/>
      <c r="Y24" s="14" t="s">
        <v>11</v>
      </c>
      <c r="Z24" s="26">
        <v>9</v>
      </c>
      <c r="AA24" s="78"/>
      <c r="AC24" s="14" t="s">
        <v>11</v>
      </c>
      <c r="AD24" s="26">
        <v>8</v>
      </c>
      <c r="AE24" s="78"/>
      <c r="AG24" s="14" t="s">
        <v>11</v>
      </c>
      <c r="AH24" s="31"/>
      <c r="AI24" s="78"/>
      <c r="AK24" s="14" t="s">
        <v>11</v>
      </c>
      <c r="AL24" s="31"/>
      <c r="AM24" s="78"/>
      <c r="AO24" s="14" t="s">
        <v>11</v>
      </c>
      <c r="AP24" s="31"/>
      <c r="AQ24" s="78"/>
    </row>
    <row r="25" spans="1:43" x14ac:dyDescent="0.25">
      <c r="A25" s="1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AO25" s="41"/>
    </row>
    <row r="26" spans="1:43" x14ac:dyDescent="0.25">
      <c r="A26" s="1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43" x14ac:dyDescent="0.25">
      <c r="A27" s="1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</row>
    <row r="28" spans="1:43" x14ac:dyDescent="0.25">
      <c r="A28" s="1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</row>
    <row r="29" spans="1:43" x14ac:dyDescent="0.25">
      <c r="A29" s="10"/>
    </row>
    <row r="30" spans="1:43" x14ac:dyDescent="0.25">
      <c r="A30" s="9"/>
    </row>
    <row r="31" spans="1:43" x14ac:dyDescent="0.25">
      <c r="A31" s="9"/>
    </row>
    <row r="32" spans="1:43" x14ac:dyDescent="0.25">
      <c r="A32" s="9"/>
    </row>
    <row r="33" spans="1:8" x14ac:dyDescent="0.25">
      <c r="A33" s="9"/>
    </row>
    <row r="34" spans="1:8" x14ac:dyDescent="0.25">
      <c r="A34" s="9"/>
    </row>
    <row r="36" spans="1:8" ht="15.75" thickBot="1" x14ac:dyDescent="0.3"/>
    <row r="37" spans="1:8" ht="15.75" thickBot="1" x14ac:dyDescent="0.3">
      <c r="A37" s="52" t="s">
        <v>13</v>
      </c>
      <c r="B37" s="53"/>
      <c r="C37" s="54"/>
    </row>
    <row r="38" spans="1:8" x14ac:dyDescent="0.25">
      <c r="A38" s="70" t="s">
        <v>14</v>
      </c>
      <c r="B38" s="71"/>
      <c r="C38" s="72"/>
    </row>
    <row r="39" spans="1:8" x14ac:dyDescent="0.25">
      <c r="A39" s="64" t="s">
        <v>15</v>
      </c>
      <c r="B39" s="65"/>
      <c r="C39" s="66"/>
    </row>
    <row r="40" spans="1:8" x14ac:dyDescent="0.25">
      <c r="A40" s="64" t="s">
        <v>16</v>
      </c>
      <c r="B40" s="65"/>
      <c r="C40" s="66"/>
    </row>
    <row r="41" spans="1:8" x14ac:dyDescent="0.25">
      <c r="A41" s="64" t="s">
        <v>17</v>
      </c>
      <c r="B41" s="65"/>
      <c r="C41" s="66"/>
    </row>
    <row r="42" spans="1:8" x14ac:dyDescent="0.25">
      <c r="A42" s="64" t="s">
        <v>18</v>
      </c>
      <c r="B42" s="65"/>
      <c r="C42" s="66"/>
    </row>
    <row r="43" spans="1:8" x14ac:dyDescent="0.25">
      <c r="A43" s="64" t="s">
        <v>19</v>
      </c>
      <c r="B43" s="65"/>
      <c r="C43" s="66"/>
    </row>
    <row r="44" spans="1:8" x14ac:dyDescent="0.25">
      <c r="A44" s="64" t="s">
        <v>20</v>
      </c>
      <c r="B44" s="65"/>
      <c r="C44" s="66"/>
    </row>
    <row r="45" spans="1:8" ht="15.75" thickBot="1" x14ac:dyDescent="0.3">
      <c r="A45" s="64" t="s">
        <v>21</v>
      </c>
      <c r="B45" s="65"/>
      <c r="C45" s="66"/>
    </row>
    <row r="46" spans="1:8" ht="15.75" thickBot="1" x14ac:dyDescent="0.3">
      <c r="A46" s="64" t="s">
        <v>22</v>
      </c>
      <c r="B46" s="65"/>
      <c r="C46" s="66"/>
      <c r="E46" s="52" t="s">
        <v>29</v>
      </c>
      <c r="F46" s="53"/>
      <c r="G46" s="53"/>
      <c r="H46" s="54"/>
    </row>
    <row r="47" spans="1:8" ht="15.75" thickBot="1" x14ac:dyDescent="0.3">
      <c r="A47" s="64" t="s">
        <v>23</v>
      </c>
      <c r="B47" s="65"/>
      <c r="C47" s="66"/>
      <c r="E47" s="21" t="s">
        <v>30</v>
      </c>
      <c r="F47" s="24" t="s">
        <v>41</v>
      </c>
      <c r="G47" s="24" t="s">
        <v>45</v>
      </c>
      <c r="H47" s="24" t="s">
        <v>46</v>
      </c>
    </row>
    <row r="48" spans="1:8" ht="15.75" thickBot="1" x14ac:dyDescent="0.3">
      <c r="A48" s="64" t="s">
        <v>24</v>
      </c>
      <c r="B48" s="65"/>
      <c r="C48" s="66"/>
      <c r="E48" s="22" t="s">
        <v>31</v>
      </c>
      <c r="F48" s="24" t="s">
        <v>42</v>
      </c>
      <c r="G48" s="24" t="s">
        <v>54</v>
      </c>
      <c r="H48" s="24" t="s">
        <v>64</v>
      </c>
    </row>
    <row r="49" spans="1:8" ht="15.75" thickBot="1" x14ac:dyDescent="0.3">
      <c r="A49" s="64" t="s">
        <v>25</v>
      </c>
      <c r="B49" s="65"/>
      <c r="C49" s="66"/>
      <c r="E49" s="22" t="s">
        <v>32</v>
      </c>
      <c r="F49" s="24" t="s">
        <v>43</v>
      </c>
      <c r="G49" s="24" t="s">
        <v>55</v>
      </c>
      <c r="H49" s="24" t="s">
        <v>65</v>
      </c>
    </row>
    <row r="50" spans="1:8" ht="15.75" thickBot="1" x14ac:dyDescent="0.3">
      <c r="A50" s="64" t="s">
        <v>26</v>
      </c>
      <c r="B50" s="65"/>
      <c r="C50" s="66"/>
      <c r="E50" s="22" t="s">
        <v>33</v>
      </c>
      <c r="F50" s="24" t="s">
        <v>44</v>
      </c>
      <c r="G50" s="24" t="s">
        <v>56</v>
      </c>
      <c r="H50" s="24" t="s">
        <v>66</v>
      </c>
    </row>
    <row r="51" spans="1:8" ht="15.75" thickBot="1" x14ac:dyDescent="0.3">
      <c r="A51" s="64" t="s">
        <v>27</v>
      </c>
      <c r="B51" s="65"/>
      <c r="C51" s="66"/>
      <c r="E51" s="22" t="s">
        <v>34</v>
      </c>
      <c r="F51" s="24" t="s">
        <v>47</v>
      </c>
      <c r="G51" s="24" t="s">
        <v>57</v>
      </c>
      <c r="H51" s="24" t="s">
        <v>67</v>
      </c>
    </row>
    <row r="52" spans="1:8" ht="15.75" thickBot="1" x14ac:dyDescent="0.3">
      <c r="A52" s="64" t="s">
        <v>28</v>
      </c>
      <c r="B52" s="65"/>
      <c r="C52" s="66"/>
      <c r="E52" s="22" t="s">
        <v>35</v>
      </c>
      <c r="F52" s="24" t="s">
        <v>48</v>
      </c>
      <c r="G52" s="24" t="s">
        <v>58</v>
      </c>
      <c r="H52" s="24" t="s">
        <v>68</v>
      </c>
    </row>
    <row r="53" spans="1:8" ht="15.75" thickBot="1" x14ac:dyDescent="0.3">
      <c r="A53" s="64" t="s">
        <v>24</v>
      </c>
      <c r="B53" s="65"/>
      <c r="C53" s="66"/>
      <c r="E53" s="22" t="s">
        <v>36</v>
      </c>
      <c r="F53" s="24" t="s">
        <v>49</v>
      </c>
      <c r="G53" s="24" t="s">
        <v>59</v>
      </c>
      <c r="H53" s="24" t="s">
        <v>69</v>
      </c>
    </row>
    <row r="54" spans="1:8" ht="15.75" thickBot="1" x14ac:dyDescent="0.3">
      <c r="A54" s="64" t="s">
        <v>25</v>
      </c>
      <c r="B54" s="65"/>
      <c r="C54" s="66"/>
      <c r="E54" s="22" t="s">
        <v>37</v>
      </c>
      <c r="F54" s="24" t="s">
        <v>50</v>
      </c>
      <c r="G54" s="24" t="s">
        <v>60</v>
      </c>
      <c r="H54" s="24" t="s">
        <v>70</v>
      </c>
    </row>
    <row r="55" spans="1:8" ht="15.75" thickBot="1" x14ac:dyDescent="0.3">
      <c r="A55" s="64" t="s">
        <v>26</v>
      </c>
      <c r="B55" s="65"/>
      <c r="C55" s="66"/>
      <c r="E55" s="22" t="s">
        <v>38</v>
      </c>
      <c r="F55" s="24" t="s">
        <v>51</v>
      </c>
      <c r="G55" s="24" t="s">
        <v>61</v>
      </c>
      <c r="H55" s="24" t="s">
        <v>71</v>
      </c>
    </row>
    <row r="56" spans="1:8" ht="15.75" thickBot="1" x14ac:dyDescent="0.3">
      <c r="A56" s="64" t="s">
        <v>27</v>
      </c>
      <c r="B56" s="65"/>
      <c r="C56" s="66"/>
      <c r="E56" s="22" t="s">
        <v>39</v>
      </c>
      <c r="F56" s="24" t="s">
        <v>52</v>
      </c>
      <c r="G56" s="24" t="s">
        <v>62</v>
      </c>
      <c r="H56" s="24" t="s">
        <v>72</v>
      </c>
    </row>
    <row r="57" spans="1:8" ht="15.75" thickBot="1" x14ac:dyDescent="0.3">
      <c r="A57" s="64" t="s">
        <v>28</v>
      </c>
      <c r="B57" s="65"/>
      <c r="C57" s="66"/>
      <c r="E57" s="23" t="s">
        <v>40</v>
      </c>
      <c r="F57" s="24" t="s">
        <v>53</v>
      </c>
      <c r="G57" s="24" t="s">
        <v>63</v>
      </c>
      <c r="H57" s="24" t="s">
        <v>73</v>
      </c>
    </row>
    <row r="58" spans="1:8" x14ac:dyDescent="0.25">
      <c r="A58" s="64" t="s">
        <v>7</v>
      </c>
      <c r="B58" s="65"/>
      <c r="C58" s="66"/>
    </row>
    <row r="59" spans="1:8" x14ac:dyDescent="0.25">
      <c r="A59" s="64" t="s">
        <v>8</v>
      </c>
      <c r="B59" s="65"/>
      <c r="C59" s="66"/>
    </row>
    <row r="60" spans="1:8" x14ac:dyDescent="0.25">
      <c r="A60" s="64" t="s">
        <v>9</v>
      </c>
      <c r="B60" s="65"/>
      <c r="C60" s="66"/>
    </row>
    <row r="61" spans="1:8" ht="15.75" thickBot="1" x14ac:dyDescent="0.3">
      <c r="A61" s="64" t="s">
        <v>10</v>
      </c>
      <c r="B61" s="65"/>
      <c r="C61" s="66"/>
    </row>
    <row r="62" spans="1:8" ht="15.75" thickBot="1" x14ac:dyDescent="0.3">
      <c r="A62" s="64" t="s">
        <v>11</v>
      </c>
      <c r="B62" s="65"/>
      <c r="C62" s="66"/>
      <c r="E62" s="50" t="s">
        <v>74</v>
      </c>
      <c r="F62" s="51"/>
    </row>
    <row r="63" spans="1:8" x14ac:dyDescent="0.25">
      <c r="A63" s="73" t="str">
        <f>""</f>
        <v/>
      </c>
      <c r="B63" s="74"/>
      <c r="C63" s="75"/>
      <c r="E63" s="22" t="s">
        <v>86</v>
      </c>
      <c r="F63" s="39">
        <v>26</v>
      </c>
    </row>
    <row r="64" spans="1:8" x14ac:dyDescent="0.25">
      <c r="A64" s="73" t="str">
        <f>""</f>
        <v/>
      </c>
      <c r="B64" s="74"/>
      <c r="C64" s="75"/>
      <c r="E64" s="22" t="s">
        <v>87</v>
      </c>
      <c r="F64" s="18">
        <v>22</v>
      </c>
    </row>
    <row r="65" spans="1:6" x14ac:dyDescent="0.25">
      <c r="A65" s="73" t="str">
        <f>""</f>
        <v/>
      </c>
      <c r="B65" s="74"/>
      <c r="C65" s="75"/>
      <c r="E65" s="22" t="s">
        <v>88</v>
      </c>
      <c r="F65" s="18">
        <v>24</v>
      </c>
    </row>
    <row r="66" spans="1:6" x14ac:dyDescent="0.25">
      <c r="A66" s="61" t="str">
        <f>""</f>
        <v/>
      </c>
      <c r="B66" s="62"/>
      <c r="C66" s="63"/>
      <c r="E66" s="22" t="s">
        <v>89</v>
      </c>
      <c r="F66" s="18">
        <v>20</v>
      </c>
    </row>
    <row r="67" spans="1:6" x14ac:dyDescent="0.25">
      <c r="A67" s="61" t="str">
        <f>""</f>
        <v/>
      </c>
      <c r="B67" s="62"/>
      <c r="C67" s="63"/>
      <c r="E67" s="22" t="s">
        <v>90</v>
      </c>
      <c r="F67" s="35">
        <v>19</v>
      </c>
    </row>
    <row r="68" spans="1:6" x14ac:dyDescent="0.25">
      <c r="A68" s="61" t="str">
        <f>""</f>
        <v/>
      </c>
      <c r="B68" s="62"/>
      <c r="C68" s="63"/>
      <c r="E68" s="22" t="s">
        <v>91</v>
      </c>
      <c r="F68" s="18">
        <v>19</v>
      </c>
    </row>
    <row r="69" spans="1:6" x14ac:dyDescent="0.25">
      <c r="A69" s="61" t="str">
        <f>""</f>
        <v/>
      </c>
      <c r="B69" s="62"/>
      <c r="C69" s="63"/>
      <c r="E69" s="22" t="s">
        <v>92</v>
      </c>
      <c r="F69" s="18">
        <v>17</v>
      </c>
    </row>
    <row r="70" spans="1:6" x14ac:dyDescent="0.25">
      <c r="A70" s="61" t="str">
        <f>""</f>
        <v/>
      </c>
      <c r="B70" s="62"/>
      <c r="C70" s="63"/>
      <c r="E70" s="22" t="s">
        <v>93</v>
      </c>
      <c r="F70" s="18">
        <v>18</v>
      </c>
    </row>
    <row r="71" spans="1:6" x14ac:dyDescent="0.25">
      <c r="A71" s="61" t="str">
        <f>""</f>
        <v/>
      </c>
      <c r="B71" s="62"/>
      <c r="C71" s="63"/>
      <c r="E71" s="22" t="s">
        <v>94</v>
      </c>
      <c r="F71" s="18"/>
    </row>
    <row r="72" spans="1:6" x14ac:dyDescent="0.25">
      <c r="A72" s="61" t="str">
        <f>""</f>
        <v/>
      </c>
      <c r="B72" s="62"/>
      <c r="C72" s="63"/>
      <c r="E72" s="22" t="s">
        <v>95</v>
      </c>
      <c r="F72" s="18"/>
    </row>
    <row r="73" spans="1:6" ht="15.75" thickBot="1" x14ac:dyDescent="0.3">
      <c r="E73" s="23" t="s">
        <v>96</v>
      </c>
      <c r="F73" s="38"/>
    </row>
    <row r="74" spans="1:6" x14ac:dyDescent="0.25">
      <c r="F74" s="40"/>
    </row>
  </sheetData>
  <mergeCells count="60">
    <mergeCell ref="U14:W14"/>
    <mergeCell ref="A14:C14"/>
    <mergeCell ref="E14:G14"/>
    <mergeCell ref="I14:K14"/>
    <mergeCell ref="M14:O14"/>
    <mergeCell ref="Q14:S14"/>
    <mergeCell ref="AM15:AM24"/>
    <mergeCell ref="AQ15:AQ24"/>
    <mergeCell ref="Y14:AA14"/>
    <mergeCell ref="AC14:AE14"/>
    <mergeCell ref="AG14:AI14"/>
    <mergeCell ref="AK14:AM14"/>
    <mergeCell ref="AO14:AQ14"/>
    <mergeCell ref="A42:C42"/>
    <mergeCell ref="W15:W24"/>
    <mergeCell ref="AA15:AA24"/>
    <mergeCell ref="AE15:AE24"/>
    <mergeCell ref="AI15:AI24"/>
    <mergeCell ref="C15:C24"/>
    <mergeCell ref="G15:G24"/>
    <mergeCell ref="K15:K24"/>
    <mergeCell ref="O15:O24"/>
    <mergeCell ref="S15:S24"/>
    <mergeCell ref="A37:C37"/>
    <mergeCell ref="A38:C38"/>
    <mergeCell ref="A39:C39"/>
    <mergeCell ref="A40:C40"/>
    <mergeCell ref="A41:C41"/>
    <mergeCell ref="A49:C49"/>
    <mergeCell ref="A50:C50"/>
    <mergeCell ref="A51:C51"/>
    <mergeCell ref="A52:C52"/>
    <mergeCell ref="E46:H46"/>
    <mergeCell ref="A47:C47"/>
    <mergeCell ref="A43:C43"/>
    <mergeCell ref="A44:C44"/>
    <mergeCell ref="A45:C45"/>
    <mergeCell ref="A46:C46"/>
    <mergeCell ref="A48:C48"/>
    <mergeCell ref="A59:C59"/>
    <mergeCell ref="A60:C60"/>
    <mergeCell ref="A61:C61"/>
    <mergeCell ref="A62:C62"/>
    <mergeCell ref="A53:C53"/>
    <mergeCell ref="A54:C54"/>
    <mergeCell ref="A55:C55"/>
    <mergeCell ref="A56:C56"/>
    <mergeCell ref="A57:C57"/>
    <mergeCell ref="A58:C58"/>
    <mergeCell ref="E62:F62"/>
    <mergeCell ref="A63:C63"/>
    <mergeCell ref="A71:C71"/>
    <mergeCell ref="A72:C72"/>
    <mergeCell ref="A65:C65"/>
    <mergeCell ref="A66:C66"/>
    <mergeCell ref="A67:C67"/>
    <mergeCell ref="A68:C68"/>
    <mergeCell ref="A69:C69"/>
    <mergeCell ref="A70:C70"/>
    <mergeCell ref="A64:C64"/>
  </mergeCells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imparCampos3">
                <anchor moveWithCells="1" sizeWithCells="1">
                  <from>
                    <xdr:col>0</xdr:col>
                    <xdr:colOff>0</xdr:colOff>
                    <xdr:row>78</xdr:row>
                    <xdr:rowOff>171450</xdr:rowOff>
                  </from>
                  <to>
                    <xdr:col>4</xdr:col>
                    <xdr:colOff>9525</xdr:colOff>
                    <xdr:row>85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iarGraficoComFormatacao">
                <anchor moveWithCells="1">
                  <from>
                    <xdr:col>17</xdr:col>
                    <xdr:colOff>171450</xdr:colOff>
                    <xdr:row>24</xdr:row>
                    <xdr:rowOff>123825</xdr:rowOff>
                  </from>
                  <to>
                    <xdr:col>21</xdr:col>
                    <xdr:colOff>142875</xdr:colOff>
                    <xdr:row>30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30FA-1DF7-472F-93E0-0D23782D4269}">
  <sheetPr codeName="Planilha3"/>
  <dimension ref="A1:AQ73"/>
  <sheetViews>
    <sheetView tabSelected="1" topLeftCell="A25" zoomScale="85" zoomScaleNormal="85" workbookViewId="0">
      <selection activeCell="AC1" sqref="AC1:AE6"/>
    </sheetView>
  </sheetViews>
  <sheetFormatPr defaultRowHeight="15" x14ac:dyDescent="0.25"/>
  <cols>
    <col min="1" max="1" width="13.85546875" customWidth="1"/>
    <col min="5" max="5" width="13.85546875" customWidth="1"/>
    <col min="9" max="9" width="13.5703125" customWidth="1"/>
    <col min="13" max="13" width="12.7109375" customWidth="1"/>
    <col min="17" max="17" width="13.7109375" customWidth="1"/>
    <col min="21" max="21" width="11.85546875" bestFit="1" customWidth="1"/>
    <col min="25" max="25" width="11.85546875" bestFit="1" customWidth="1"/>
    <col min="29" max="29" width="11.85546875" bestFit="1" customWidth="1"/>
    <col min="33" max="33" width="11.85546875" bestFit="1" customWidth="1"/>
    <col min="37" max="37" width="11.85546875" bestFit="1" customWidth="1"/>
    <col min="41" max="41" width="11.85546875" bestFit="1" customWidth="1"/>
  </cols>
  <sheetData>
    <row r="1" spans="1:43" x14ac:dyDescent="0.25">
      <c r="A1" s="1" t="s">
        <v>86</v>
      </c>
      <c r="B1" s="2" t="s">
        <v>0</v>
      </c>
      <c r="C1" s="3" t="s">
        <v>1</v>
      </c>
      <c r="E1" s="7" t="s">
        <v>87</v>
      </c>
      <c r="F1" s="2" t="s">
        <v>0</v>
      </c>
      <c r="G1" s="3" t="s">
        <v>1</v>
      </c>
      <c r="I1" s="8" t="s">
        <v>88</v>
      </c>
      <c r="J1" s="2" t="s">
        <v>0</v>
      </c>
      <c r="K1" s="3" t="s">
        <v>1</v>
      </c>
      <c r="M1" s="8" t="s">
        <v>89</v>
      </c>
      <c r="N1" s="2" t="s">
        <v>0</v>
      </c>
      <c r="O1" s="3" t="s">
        <v>1</v>
      </c>
      <c r="Q1" s="8" t="s">
        <v>90</v>
      </c>
      <c r="R1" s="2" t="s">
        <v>0</v>
      </c>
      <c r="S1" s="3" t="s">
        <v>1</v>
      </c>
      <c r="U1" s="8" t="s">
        <v>91</v>
      </c>
      <c r="V1" s="2" t="s">
        <v>0</v>
      </c>
      <c r="W1" s="3" t="s">
        <v>1</v>
      </c>
      <c r="Y1" s="8" t="s">
        <v>92</v>
      </c>
      <c r="Z1" s="2" t="s">
        <v>0</v>
      </c>
      <c r="AA1" s="3" t="s">
        <v>1</v>
      </c>
      <c r="AC1" s="8" t="s">
        <v>93</v>
      </c>
      <c r="AD1" s="2" t="s">
        <v>0</v>
      </c>
      <c r="AE1" s="3" t="s">
        <v>1</v>
      </c>
      <c r="AG1" s="8" t="s">
        <v>94</v>
      </c>
      <c r="AH1" s="2" t="s">
        <v>0</v>
      </c>
      <c r="AI1" s="3" t="s">
        <v>1</v>
      </c>
      <c r="AK1" s="8" t="s">
        <v>95</v>
      </c>
      <c r="AL1" s="2" t="s">
        <v>0</v>
      </c>
      <c r="AM1" s="3" t="s">
        <v>1</v>
      </c>
      <c r="AO1" s="8" t="s">
        <v>96</v>
      </c>
      <c r="AP1" s="2" t="s">
        <v>0</v>
      </c>
      <c r="AQ1" s="3" t="s">
        <v>1</v>
      </c>
    </row>
    <row r="2" spans="1:43" x14ac:dyDescent="0.25">
      <c r="A2" s="4" t="str">
        <f>$A52</f>
        <v>QUESTÃO 21</v>
      </c>
      <c r="B2" s="5" t="e">
        <f>B10/$F$63*100/100</f>
        <v>#DIV/0!</v>
      </c>
      <c r="C2" s="6" t="e">
        <f>100%-B2</f>
        <v>#DIV/0!</v>
      </c>
      <c r="E2" s="4" t="str">
        <f t="shared" ref="E2:E7" si="0">$A52</f>
        <v>QUESTÃO 21</v>
      </c>
      <c r="F2" s="5" t="e">
        <f>F10/$F$64*100/100</f>
        <v>#DIV/0!</v>
      </c>
      <c r="G2" s="6" t="e">
        <f>100%-F2</f>
        <v>#DIV/0!</v>
      </c>
      <c r="I2" s="4" t="str">
        <f t="shared" ref="I2:I7" si="1">$A52</f>
        <v>QUESTÃO 21</v>
      </c>
      <c r="J2" s="5" t="e">
        <f>J10/$F$65*100/100</f>
        <v>#DIV/0!</v>
      </c>
      <c r="K2" s="6" t="e">
        <f>100%-J2</f>
        <v>#DIV/0!</v>
      </c>
      <c r="M2" s="4" t="str">
        <f>$A52</f>
        <v>QUESTÃO 21</v>
      </c>
      <c r="N2" s="5" t="e">
        <f>N10/$F$66*100/100</f>
        <v>#DIV/0!</v>
      </c>
      <c r="O2" s="6" t="e">
        <f>100%-N2</f>
        <v>#DIV/0!</v>
      </c>
      <c r="Q2" s="4" t="str">
        <f t="shared" ref="Q2:Q7" si="2">$A52</f>
        <v>QUESTÃO 21</v>
      </c>
      <c r="R2" s="5" t="e">
        <f>R10/$F$68*100/100</f>
        <v>#DIV/0!</v>
      </c>
      <c r="S2" s="6" t="e">
        <f>100%-R2</f>
        <v>#DIV/0!</v>
      </c>
      <c r="U2" s="4" t="str">
        <f t="shared" ref="U2:U7" si="3">$A52</f>
        <v>QUESTÃO 21</v>
      </c>
      <c r="V2" s="5" t="e">
        <f>V10/$F$69*100/100</f>
        <v>#DIV/0!</v>
      </c>
      <c r="W2" s="6" t="e">
        <f>100%-V2</f>
        <v>#DIV/0!</v>
      </c>
      <c r="Y2" s="4" t="str">
        <f t="shared" ref="Y2:Y7" si="4">$A52</f>
        <v>QUESTÃO 21</v>
      </c>
      <c r="Z2" s="5" t="e">
        <f>Z10/$F$70*100/100</f>
        <v>#DIV/0!</v>
      </c>
      <c r="AA2" s="6" t="e">
        <f>100%-Z2</f>
        <v>#DIV/0!</v>
      </c>
      <c r="AC2" s="4" t="str">
        <f t="shared" ref="AC2:AC7" si="5">$A52</f>
        <v>QUESTÃO 21</v>
      </c>
      <c r="AD2" s="5" t="e">
        <f>AD10/$F$70*100/100</f>
        <v>#DIV/0!</v>
      </c>
      <c r="AE2" s="6" t="e">
        <f>100%-AD2</f>
        <v>#DIV/0!</v>
      </c>
      <c r="AG2" s="4" t="str">
        <f t="shared" ref="AG2:AG7" si="6">$A52</f>
        <v>QUESTÃO 21</v>
      </c>
      <c r="AH2" s="5" t="e">
        <f>AH10/$F$72*100/100</f>
        <v>#DIV/0!</v>
      </c>
      <c r="AI2" s="6" t="e">
        <f>100%-AH2</f>
        <v>#DIV/0!</v>
      </c>
      <c r="AK2" s="4" t="str">
        <f t="shared" ref="AK2:AK7" si="7">$A52</f>
        <v>QUESTÃO 21</v>
      </c>
      <c r="AL2" s="5" t="e">
        <f>AL10/$F$72*100/100</f>
        <v>#DIV/0!</v>
      </c>
      <c r="AM2" s="6" t="e">
        <f>100%-AL2</f>
        <v>#DIV/0!</v>
      </c>
      <c r="AO2" s="4" t="str">
        <f t="shared" ref="AO2:AO7" si="8">$A52</f>
        <v>QUESTÃO 21</v>
      </c>
      <c r="AP2" s="5" t="e">
        <f>AP10/$F$73*100/100</f>
        <v>#DIV/0!</v>
      </c>
      <c r="AQ2" s="6" t="e">
        <f>100%-AP2</f>
        <v>#DIV/0!</v>
      </c>
    </row>
    <row r="3" spans="1:43" x14ac:dyDescent="0.25">
      <c r="A3" s="4" t="str">
        <f t="shared" ref="A3:A6" si="9">$A53</f>
        <v>QUESTÃO 22</v>
      </c>
      <c r="B3" s="5" t="e">
        <f t="shared" ref="B3:B6" si="10">B11/$F$63*100/100</f>
        <v>#DIV/0!</v>
      </c>
      <c r="C3" s="6" t="e">
        <f t="shared" ref="C3:C6" si="11">100%-B3</f>
        <v>#DIV/0!</v>
      </c>
      <c r="E3" s="4" t="str">
        <f t="shared" si="0"/>
        <v>QUESTÃO 22</v>
      </c>
      <c r="F3" s="5" t="e">
        <f t="shared" ref="F3:F6" si="12">F11/$F$64*100/100</f>
        <v>#DIV/0!</v>
      </c>
      <c r="G3" s="6" t="e">
        <f t="shared" ref="G3:G6" si="13">100%-F3</f>
        <v>#DIV/0!</v>
      </c>
      <c r="I3" s="4" t="str">
        <f t="shared" si="1"/>
        <v>QUESTÃO 22</v>
      </c>
      <c r="J3" s="5" t="e">
        <f t="shared" ref="J3:J6" si="14">J11/$F$65*100/100</f>
        <v>#DIV/0!</v>
      </c>
      <c r="K3" s="6" t="e">
        <f t="shared" ref="K3:K6" si="15">100%-J3</f>
        <v>#DIV/0!</v>
      </c>
      <c r="M3" s="4" t="str">
        <f t="shared" ref="M3:M6" si="16">$A53</f>
        <v>QUESTÃO 22</v>
      </c>
      <c r="N3" s="5" t="e">
        <f t="shared" ref="N3:N6" si="17">N11/$F$66*100/100</f>
        <v>#DIV/0!</v>
      </c>
      <c r="O3" s="6" t="e">
        <f t="shared" ref="O3:O6" si="18">100%-N3</f>
        <v>#DIV/0!</v>
      </c>
      <c r="Q3" s="4" t="str">
        <f t="shared" si="2"/>
        <v>QUESTÃO 22</v>
      </c>
      <c r="R3" s="5" t="e">
        <f t="shared" ref="R3:R6" si="19">R11/$F$68*100/100</f>
        <v>#DIV/0!</v>
      </c>
      <c r="S3" s="6" t="e">
        <f t="shared" ref="S3:S6" si="20">100%-R3</f>
        <v>#DIV/0!</v>
      </c>
      <c r="U3" s="4" t="str">
        <f t="shared" si="3"/>
        <v>QUESTÃO 22</v>
      </c>
      <c r="V3" s="5" t="e">
        <f t="shared" ref="V3:V6" si="21">V11/$F$69*100/100</f>
        <v>#DIV/0!</v>
      </c>
      <c r="W3" s="6" t="e">
        <f t="shared" ref="W3:W6" si="22">100%-V3</f>
        <v>#DIV/0!</v>
      </c>
      <c r="Y3" s="4" t="str">
        <f t="shared" si="4"/>
        <v>QUESTÃO 22</v>
      </c>
      <c r="Z3" s="5" t="e">
        <f t="shared" ref="Z3:Z6" si="23">Z11/$F$70*100/100</f>
        <v>#DIV/0!</v>
      </c>
      <c r="AA3" s="6" t="e">
        <f t="shared" ref="AA3:AA6" si="24">100%-Z3</f>
        <v>#DIV/0!</v>
      </c>
      <c r="AC3" s="4" t="str">
        <f t="shared" si="5"/>
        <v>QUESTÃO 22</v>
      </c>
      <c r="AD3" s="5" t="e">
        <f>AD11/$F$70*100/100</f>
        <v>#DIV/0!</v>
      </c>
      <c r="AE3" s="6" t="e">
        <f t="shared" ref="AE3:AE6" si="25">100%-AD3</f>
        <v>#DIV/0!</v>
      </c>
      <c r="AG3" s="4" t="str">
        <f t="shared" si="6"/>
        <v>QUESTÃO 22</v>
      </c>
      <c r="AH3" s="5" t="e">
        <f t="shared" ref="AH3:AH6" si="26">AH11/$F$72*100/100</f>
        <v>#DIV/0!</v>
      </c>
      <c r="AI3" s="6" t="e">
        <f t="shared" ref="AI3:AI6" si="27">100%-AH3</f>
        <v>#DIV/0!</v>
      </c>
      <c r="AK3" s="4" t="str">
        <f t="shared" si="7"/>
        <v>QUESTÃO 22</v>
      </c>
      <c r="AL3" s="5" t="e">
        <f t="shared" ref="AL3:AL6" si="28">AL11/$F$72*100/100</f>
        <v>#DIV/0!</v>
      </c>
      <c r="AM3" s="6" t="e">
        <f t="shared" ref="AM3:AM6" si="29">100%-AL3</f>
        <v>#DIV/0!</v>
      </c>
      <c r="AO3" s="4" t="str">
        <f t="shared" si="8"/>
        <v>QUESTÃO 22</v>
      </c>
      <c r="AP3" s="5" t="e">
        <f t="shared" ref="AP3:AP6" si="30">AP11/$F$73*100/100</f>
        <v>#DIV/0!</v>
      </c>
      <c r="AQ3" s="6" t="e">
        <f t="shared" ref="AQ3:AQ6" si="31">100%-AP3</f>
        <v>#DIV/0!</v>
      </c>
    </row>
    <row r="4" spans="1:43" x14ac:dyDescent="0.25">
      <c r="A4" s="4" t="str">
        <f t="shared" si="9"/>
        <v>QUESTÃO 23</v>
      </c>
      <c r="B4" s="5" t="e">
        <f t="shared" si="10"/>
        <v>#DIV/0!</v>
      </c>
      <c r="C4" s="6" t="e">
        <f t="shared" si="11"/>
        <v>#DIV/0!</v>
      </c>
      <c r="E4" s="4" t="str">
        <f t="shared" si="0"/>
        <v>QUESTÃO 23</v>
      </c>
      <c r="F4" s="5" t="e">
        <f t="shared" si="12"/>
        <v>#DIV/0!</v>
      </c>
      <c r="G4" s="6" t="e">
        <f t="shared" si="13"/>
        <v>#DIV/0!</v>
      </c>
      <c r="I4" s="4" t="str">
        <f t="shared" si="1"/>
        <v>QUESTÃO 23</v>
      </c>
      <c r="J4" s="5" t="e">
        <f t="shared" si="14"/>
        <v>#DIV/0!</v>
      </c>
      <c r="K4" s="6" t="e">
        <f t="shared" si="15"/>
        <v>#DIV/0!</v>
      </c>
      <c r="M4" s="4" t="str">
        <f t="shared" si="16"/>
        <v>QUESTÃO 23</v>
      </c>
      <c r="N4" s="5" t="e">
        <f t="shared" si="17"/>
        <v>#DIV/0!</v>
      </c>
      <c r="O4" s="6" t="e">
        <f t="shared" si="18"/>
        <v>#DIV/0!</v>
      </c>
      <c r="Q4" s="4" t="str">
        <f t="shared" si="2"/>
        <v>QUESTÃO 23</v>
      </c>
      <c r="R4" s="5" t="e">
        <f t="shared" si="19"/>
        <v>#DIV/0!</v>
      </c>
      <c r="S4" s="6" t="e">
        <f t="shared" si="20"/>
        <v>#DIV/0!</v>
      </c>
      <c r="U4" s="4" t="str">
        <f t="shared" si="3"/>
        <v>QUESTÃO 23</v>
      </c>
      <c r="V4" s="5" t="e">
        <f t="shared" si="21"/>
        <v>#DIV/0!</v>
      </c>
      <c r="W4" s="6" t="e">
        <f t="shared" si="22"/>
        <v>#DIV/0!</v>
      </c>
      <c r="Y4" s="4" t="str">
        <f t="shared" si="4"/>
        <v>QUESTÃO 23</v>
      </c>
      <c r="Z4" s="5" t="e">
        <f t="shared" si="23"/>
        <v>#DIV/0!</v>
      </c>
      <c r="AA4" s="6" t="e">
        <f t="shared" si="24"/>
        <v>#DIV/0!</v>
      </c>
      <c r="AC4" s="4" t="str">
        <f t="shared" si="5"/>
        <v>QUESTÃO 23</v>
      </c>
      <c r="AD4" s="5" t="e">
        <f t="shared" ref="AD4:AD6" si="32">AD12/$F$70*100/100</f>
        <v>#DIV/0!</v>
      </c>
      <c r="AE4" s="6" t="e">
        <f t="shared" ref="AE4:AE6" si="33">100%-AD4</f>
        <v>#DIV/0!</v>
      </c>
      <c r="AG4" s="4" t="str">
        <f t="shared" si="6"/>
        <v>QUESTÃO 23</v>
      </c>
      <c r="AH4" s="5" t="e">
        <f t="shared" si="26"/>
        <v>#DIV/0!</v>
      </c>
      <c r="AI4" s="6" t="e">
        <f t="shared" si="27"/>
        <v>#DIV/0!</v>
      </c>
      <c r="AK4" s="4" t="str">
        <f t="shared" si="7"/>
        <v>QUESTÃO 23</v>
      </c>
      <c r="AL4" s="5" t="e">
        <f t="shared" si="28"/>
        <v>#DIV/0!</v>
      </c>
      <c r="AM4" s="6" t="e">
        <f t="shared" si="29"/>
        <v>#DIV/0!</v>
      </c>
      <c r="AO4" s="4" t="str">
        <f t="shared" si="8"/>
        <v>QUESTÃO 23</v>
      </c>
      <c r="AP4" s="5" t="e">
        <f t="shared" si="30"/>
        <v>#DIV/0!</v>
      </c>
      <c r="AQ4" s="6" t="e">
        <f t="shared" si="31"/>
        <v>#DIV/0!</v>
      </c>
    </row>
    <row r="5" spans="1:43" x14ac:dyDescent="0.25">
      <c r="A5" s="4" t="str">
        <f t="shared" si="9"/>
        <v>QUESTÃO 24</v>
      </c>
      <c r="B5" s="5" t="e">
        <f t="shared" si="10"/>
        <v>#DIV/0!</v>
      </c>
      <c r="C5" s="6" t="e">
        <f t="shared" si="11"/>
        <v>#DIV/0!</v>
      </c>
      <c r="E5" s="4" t="str">
        <f t="shared" si="0"/>
        <v>QUESTÃO 24</v>
      </c>
      <c r="F5" s="5" t="e">
        <f t="shared" si="12"/>
        <v>#DIV/0!</v>
      </c>
      <c r="G5" s="6" t="e">
        <f t="shared" si="13"/>
        <v>#DIV/0!</v>
      </c>
      <c r="I5" s="4" t="str">
        <f t="shared" si="1"/>
        <v>QUESTÃO 24</v>
      </c>
      <c r="J5" s="5" t="e">
        <f t="shared" si="14"/>
        <v>#DIV/0!</v>
      </c>
      <c r="K5" s="6" t="e">
        <f t="shared" si="15"/>
        <v>#DIV/0!</v>
      </c>
      <c r="M5" s="4" t="str">
        <f t="shared" si="16"/>
        <v>QUESTÃO 24</v>
      </c>
      <c r="N5" s="5" t="e">
        <f t="shared" si="17"/>
        <v>#DIV/0!</v>
      </c>
      <c r="O5" s="6" t="e">
        <f t="shared" si="18"/>
        <v>#DIV/0!</v>
      </c>
      <c r="Q5" s="4" t="str">
        <f t="shared" si="2"/>
        <v>QUESTÃO 24</v>
      </c>
      <c r="R5" s="5" t="e">
        <f t="shared" si="19"/>
        <v>#DIV/0!</v>
      </c>
      <c r="S5" s="6" t="e">
        <f t="shared" si="20"/>
        <v>#DIV/0!</v>
      </c>
      <c r="U5" s="4" t="str">
        <f t="shared" si="3"/>
        <v>QUESTÃO 24</v>
      </c>
      <c r="V5" s="5" t="e">
        <f t="shared" si="21"/>
        <v>#DIV/0!</v>
      </c>
      <c r="W5" s="6" t="e">
        <f t="shared" si="22"/>
        <v>#DIV/0!</v>
      </c>
      <c r="Y5" s="4" t="str">
        <f t="shared" si="4"/>
        <v>QUESTÃO 24</v>
      </c>
      <c r="Z5" s="5" t="e">
        <f t="shared" si="23"/>
        <v>#DIV/0!</v>
      </c>
      <c r="AA5" s="6" t="e">
        <f t="shared" si="24"/>
        <v>#DIV/0!</v>
      </c>
      <c r="AC5" s="4" t="str">
        <f t="shared" si="5"/>
        <v>QUESTÃO 24</v>
      </c>
      <c r="AD5" s="5" t="e">
        <f t="shared" si="32"/>
        <v>#DIV/0!</v>
      </c>
      <c r="AE5" s="6" t="e">
        <f t="shared" si="33"/>
        <v>#DIV/0!</v>
      </c>
      <c r="AG5" s="4" t="str">
        <f t="shared" si="6"/>
        <v>QUESTÃO 24</v>
      </c>
      <c r="AH5" s="5" t="e">
        <f t="shared" si="26"/>
        <v>#DIV/0!</v>
      </c>
      <c r="AI5" s="6" t="e">
        <f t="shared" si="27"/>
        <v>#DIV/0!</v>
      </c>
      <c r="AK5" s="4" t="str">
        <f t="shared" si="7"/>
        <v>QUESTÃO 24</v>
      </c>
      <c r="AL5" s="5" t="e">
        <f t="shared" si="28"/>
        <v>#DIV/0!</v>
      </c>
      <c r="AM5" s="6" t="e">
        <f t="shared" si="29"/>
        <v>#DIV/0!</v>
      </c>
      <c r="AO5" s="4" t="str">
        <f t="shared" si="8"/>
        <v>QUESTÃO 24</v>
      </c>
      <c r="AP5" s="5" t="e">
        <f t="shared" si="30"/>
        <v>#DIV/0!</v>
      </c>
      <c r="AQ5" s="6" t="e">
        <f t="shared" si="31"/>
        <v>#DIV/0!</v>
      </c>
    </row>
    <row r="6" spans="1:43" ht="15.75" thickBot="1" x14ac:dyDescent="0.3">
      <c r="A6" s="16" t="str">
        <f t="shared" si="9"/>
        <v>QUESTÃO 25</v>
      </c>
      <c r="B6" s="5" t="e">
        <f t="shared" si="10"/>
        <v>#DIV/0!</v>
      </c>
      <c r="C6" s="6" t="e">
        <f t="shared" si="11"/>
        <v>#DIV/0!</v>
      </c>
      <c r="E6" s="16" t="str">
        <f t="shared" si="0"/>
        <v>QUESTÃO 25</v>
      </c>
      <c r="F6" s="5" t="e">
        <f t="shared" si="12"/>
        <v>#DIV/0!</v>
      </c>
      <c r="G6" s="6" t="e">
        <f t="shared" si="13"/>
        <v>#DIV/0!</v>
      </c>
      <c r="I6" s="16" t="str">
        <f t="shared" si="1"/>
        <v>QUESTÃO 25</v>
      </c>
      <c r="J6" s="5" t="e">
        <f t="shared" si="14"/>
        <v>#DIV/0!</v>
      </c>
      <c r="K6" s="6" t="e">
        <f t="shared" si="15"/>
        <v>#DIV/0!</v>
      </c>
      <c r="M6" s="16" t="str">
        <f t="shared" si="16"/>
        <v>QUESTÃO 25</v>
      </c>
      <c r="N6" s="5" t="e">
        <f t="shared" si="17"/>
        <v>#DIV/0!</v>
      </c>
      <c r="O6" s="6" t="e">
        <f t="shared" si="18"/>
        <v>#DIV/0!</v>
      </c>
      <c r="Q6" s="16" t="str">
        <f t="shared" si="2"/>
        <v>QUESTÃO 25</v>
      </c>
      <c r="R6" s="5" t="e">
        <f t="shared" si="19"/>
        <v>#DIV/0!</v>
      </c>
      <c r="S6" s="6" t="e">
        <f t="shared" si="20"/>
        <v>#DIV/0!</v>
      </c>
      <c r="U6" s="16" t="str">
        <f t="shared" si="3"/>
        <v>QUESTÃO 25</v>
      </c>
      <c r="V6" s="5" t="e">
        <f t="shared" si="21"/>
        <v>#DIV/0!</v>
      </c>
      <c r="W6" s="6" t="e">
        <f t="shared" si="22"/>
        <v>#DIV/0!</v>
      </c>
      <c r="Y6" s="16" t="str">
        <f t="shared" si="4"/>
        <v>QUESTÃO 25</v>
      </c>
      <c r="Z6" s="5" t="e">
        <f t="shared" si="23"/>
        <v>#DIV/0!</v>
      </c>
      <c r="AA6" s="6" t="e">
        <f t="shared" si="24"/>
        <v>#DIV/0!</v>
      </c>
      <c r="AC6" s="16" t="str">
        <f t="shared" si="5"/>
        <v>QUESTÃO 25</v>
      </c>
      <c r="AD6" s="5" t="e">
        <f t="shared" si="32"/>
        <v>#DIV/0!</v>
      </c>
      <c r="AE6" s="6" t="e">
        <f t="shared" si="33"/>
        <v>#DIV/0!</v>
      </c>
      <c r="AG6" s="16" t="str">
        <f t="shared" si="6"/>
        <v>QUESTÃO 25</v>
      </c>
      <c r="AH6" s="5" t="e">
        <f t="shared" si="26"/>
        <v>#DIV/0!</v>
      </c>
      <c r="AI6" s="6" t="e">
        <f t="shared" si="27"/>
        <v>#DIV/0!</v>
      </c>
      <c r="AK6" s="16" t="str">
        <f t="shared" si="7"/>
        <v>QUESTÃO 25</v>
      </c>
      <c r="AL6" s="5" t="e">
        <f t="shared" si="28"/>
        <v>#DIV/0!</v>
      </c>
      <c r="AM6" s="6" t="e">
        <f t="shared" si="29"/>
        <v>#DIV/0!</v>
      </c>
      <c r="AO6" s="16" t="str">
        <f t="shared" si="8"/>
        <v>QUESTÃO 25</v>
      </c>
      <c r="AP6" s="5" t="e">
        <f t="shared" si="30"/>
        <v>#DIV/0!</v>
      </c>
      <c r="AQ6" s="6" t="e">
        <f t="shared" si="31"/>
        <v>#DIV/0!</v>
      </c>
    </row>
    <row r="7" spans="1:43" x14ac:dyDescent="0.25">
      <c r="A7" t="str">
        <f>A57</f>
        <v/>
      </c>
      <c r="B7" s="11"/>
      <c r="C7" s="11"/>
      <c r="E7" t="str">
        <f t="shared" si="0"/>
        <v/>
      </c>
      <c r="F7" s="17"/>
      <c r="G7" s="11"/>
      <c r="I7" t="str">
        <f t="shared" si="1"/>
        <v/>
      </c>
      <c r="J7" s="17"/>
      <c r="K7" s="11"/>
      <c r="N7" s="11"/>
      <c r="O7" s="11"/>
      <c r="Q7" t="str">
        <f t="shared" si="2"/>
        <v/>
      </c>
      <c r="R7" s="11"/>
      <c r="S7" s="11"/>
      <c r="U7" t="str">
        <f t="shared" si="3"/>
        <v/>
      </c>
      <c r="V7" s="11"/>
      <c r="W7" s="11"/>
      <c r="Y7" t="str">
        <f t="shared" si="4"/>
        <v/>
      </c>
      <c r="Z7" s="11"/>
      <c r="AA7" s="11"/>
      <c r="AC7" t="str">
        <f t="shared" si="5"/>
        <v/>
      </c>
      <c r="AD7" s="11"/>
      <c r="AE7" s="11"/>
      <c r="AG7" t="str">
        <f t="shared" si="6"/>
        <v/>
      </c>
      <c r="AH7" s="11"/>
      <c r="AI7" s="11"/>
      <c r="AK7" t="str">
        <f t="shared" si="7"/>
        <v/>
      </c>
      <c r="AL7" s="11"/>
      <c r="AM7" s="11"/>
      <c r="AO7" t="str">
        <f t="shared" si="8"/>
        <v/>
      </c>
      <c r="AP7" s="11"/>
      <c r="AQ7" s="11"/>
    </row>
    <row r="8" spans="1:43" ht="15.75" thickBot="1" x14ac:dyDescent="0.3">
      <c r="B8" s="11"/>
      <c r="C8" s="11"/>
      <c r="F8" s="11"/>
      <c r="G8" s="11"/>
      <c r="J8" s="11"/>
      <c r="K8" s="11"/>
      <c r="N8" s="11"/>
      <c r="O8" s="11"/>
      <c r="R8" s="11"/>
      <c r="S8" s="11"/>
      <c r="V8" s="11"/>
      <c r="W8" s="11"/>
      <c r="Z8" s="11"/>
      <c r="AA8" s="11"/>
      <c r="AD8" s="11"/>
      <c r="AE8" s="11"/>
      <c r="AH8" s="11"/>
      <c r="AI8" s="11"/>
      <c r="AL8" s="11"/>
      <c r="AM8" s="11"/>
      <c r="AP8" s="11"/>
      <c r="AQ8" s="11"/>
    </row>
    <row r="9" spans="1:43" ht="15.75" thickBot="1" x14ac:dyDescent="0.3">
      <c r="A9" s="58" t="s">
        <v>12</v>
      </c>
      <c r="B9" s="59"/>
      <c r="C9" s="60"/>
      <c r="E9" s="58" t="s">
        <v>12</v>
      </c>
      <c r="F9" s="59"/>
      <c r="G9" s="60"/>
      <c r="H9" s="12"/>
      <c r="I9" s="58" t="s">
        <v>12</v>
      </c>
      <c r="J9" s="59"/>
      <c r="K9" s="60"/>
      <c r="M9" s="58" t="s">
        <v>12</v>
      </c>
      <c r="N9" s="59"/>
      <c r="O9" s="60"/>
      <c r="Q9" s="58" t="s">
        <v>12</v>
      </c>
      <c r="R9" s="59"/>
      <c r="S9" s="60"/>
      <c r="U9" s="58" t="s">
        <v>12</v>
      </c>
      <c r="V9" s="59"/>
      <c r="W9" s="60"/>
      <c r="Y9" s="58" t="s">
        <v>12</v>
      </c>
      <c r="Z9" s="59"/>
      <c r="AA9" s="60"/>
      <c r="AC9" s="58" t="s">
        <v>12</v>
      </c>
      <c r="AD9" s="59"/>
      <c r="AE9" s="60"/>
      <c r="AG9" s="58" t="s">
        <v>12</v>
      </c>
      <c r="AH9" s="59"/>
      <c r="AI9" s="60"/>
      <c r="AK9" s="58" t="s">
        <v>12</v>
      </c>
      <c r="AL9" s="59"/>
      <c r="AM9" s="60"/>
      <c r="AO9" s="58" t="s">
        <v>12</v>
      </c>
      <c r="AP9" s="59"/>
      <c r="AQ9" s="60"/>
    </row>
    <row r="10" spans="1:43" x14ac:dyDescent="0.25">
      <c r="A10" s="14" t="s">
        <v>2</v>
      </c>
      <c r="B10" s="14"/>
      <c r="C10" s="81"/>
      <c r="D10" s="9"/>
      <c r="E10" s="14"/>
      <c r="F10" s="14"/>
      <c r="G10" s="81"/>
      <c r="H10" s="9"/>
      <c r="I10" s="4" t="s">
        <v>2</v>
      </c>
      <c r="J10" s="14"/>
      <c r="K10" s="81"/>
      <c r="L10" s="9"/>
      <c r="M10" s="4" t="s">
        <v>2</v>
      </c>
      <c r="N10" s="14"/>
      <c r="O10" s="81"/>
      <c r="P10" s="9"/>
      <c r="Q10" s="4" t="s">
        <v>2</v>
      </c>
      <c r="R10" s="14"/>
      <c r="S10" s="81"/>
      <c r="U10" s="4" t="s">
        <v>2</v>
      </c>
      <c r="V10" s="14">
        <v>3</v>
      </c>
      <c r="W10" s="81"/>
      <c r="Y10" s="4" t="s">
        <v>2</v>
      </c>
      <c r="Z10" s="14"/>
      <c r="AA10" s="81"/>
      <c r="AC10" s="4" t="s">
        <v>2</v>
      </c>
      <c r="AD10" s="14"/>
      <c r="AE10" s="81"/>
      <c r="AG10" s="4" t="s">
        <v>2</v>
      </c>
      <c r="AH10" s="14"/>
      <c r="AI10" s="81"/>
      <c r="AK10" s="4" t="s">
        <v>2</v>
      </c>
      <c r="AL10" s="14"/>
      <c r="AM10" s="81"/>
      <c r="AO10" s="4" t="s">
        <v>2</v>
      </c>
      <c r="AP10" s="14"/>
      <c r="AQ10" s="81"/>
    </row>
    <row r="11" spans="1:43" x14ac:dyDescent="0.25">
      <c r="A11" s="14" t="s">
        <v>3</v>
      </c>
      <c r="B11" s="28"/>
      <c r="C11" s="82"/>
      <c r="D11" s="9"/>
      <c r="E11" s="14"/>
      <c r="F11" s="14"/>
      <c r="G11" s="82"/>
      <c r="H11" s="9"/>
      <c r="I11" s="4" t="s">
        <v>3</v>
      </c>
      <c r="J11" s="14"/>
      <c r="K11" s="82"/>
      <c r="L11" s="9"/>
      <c r="M11" s="4" t="s">
        <v>3</v>
      </c>
      <c r="N11" s="14"/>
      <c r="O11" s="82"/>
      <c r="P11" s="9"/>
      <c r="Q11" s="4" t="s">
        <v>3</v>
      </c>
      <c r="R11" s="30"/>
      <c r="S11" s="82"/>
      <c r="U11" s="4" t="s">
        <v>3</v>
      </c>
      <c r="V11" s="30">
        <v>16</v>
      </c>
      <c r="W11" s="82"/>
      <c r="Y11" s="4" t="s">
        <v>3</v>
      </c>
      <c r="Z11" s="30"/>
      <c r="AA11" s="82"/>
      <c r="AC11" s="4" t="s">
        <v>3</v>
      </c>
      <c r="AD11" s="30"/>
      <c r="AE11" s="82"/>
      <c r="AG11" s="4" t="s">
        <v>3</v>
      </c>
      <c r="AH11" s="30"/>
      <c r="AI11" s="82"/>
      <c r="AK11" s="4" t="s">
        <v>3</v>
      </c>
      <c r="AL11" s="30"/>
      <c r="AM11" s="82"/>
      <c r="AO11" s="4" t="s">
        <v>3</v>
      </c>
      <c r="AP11" s="30"/>
      <c r="AQ11" s="82"/>
    </row>
    <row r="12" spans="1:43" x14ac:dyDescent="0.25">
      <c r="A12" s="14" t="s">
        <v>4</v>
      </c>
      <c r="B12" s="14"/>
      <c r="C12" s="82"/>
      <c r="D12" s="9"/>
      <c r="E12" s="14"/>
      <c r="F12" s="14"/>
      <c r="G12" s="82"/>
      <c r="H12" s="9"/>
      <c r="I12" s="4" t="s">
        <v>4</v>
      </c>
      <c r="J12" s="14"/>
      <c r="K12" s="82"/>
      <c r="L12" s="9"/>
      <c r="M12" s="4" t="s">
        <v>4</v>
      </c>
      <c r="N12" s="14"/>
      <c r="O12" s="82"/>
      <c r="P12" s="9"/>
      <c r="Q12" s="4" t="s">
        <v>4</v>
      </c>
      <c r="R12" s="28"/>
      <c r="S12" s="82"/>
      <c r="U12" s="4" t="s">
        <v>4</v>
      </c>
      <c r="V12" s="28">
        <v>10</v>
      </c>
      <c r="W12" s="82"/>
      <c r="Y12" s="4" t="s">
        <v>4</v>
      </c>
      <c r="Z12" s="28"/>
      <c r="AA12" s="82"/>
      <c r="AC12" s="4" t="s">
        <v>4</v>
      </c>
      <c r="AD12" s="28"/>
      <c r="AE12" s="82"/>
      <c r="AG12" s="4" t="s">
        <v>4</v>
      </c>
      <c r="AH12" s="28"/>
      <c r="AI12" s="82"/>
      <c r="AK12" s="4" t="s">
        <v>4</v>
      </c>
      <c r="AL12" s="28"/>
      <c r="AM12" s="82"/>
      <c r="AO12" s="4" t="s">
        <v>4</v>
      </c>
      <c r="AP12" s="28"/>
      <c r="AQ12" s="82"/>
    </row>
    <row r="13" spans="1:43" x14ac:dyDescent="0.25">
      <c r="A13" s="14" t="s">
        <v>5</v>
      </c>
      <c r="B13" s="28"/>
      <c r="C13" s="82"/>
      <c r="D13" s="9"/>
      <c r="E13" s="14"/>
      <c r="F13" s="14"/>
      <c r="G13" s="82"/>
      <c r="H13" s="9"/>
      <c r="I13" s="4" t="s">
        <v>5</v>
      </c>
      <c r="J13" s="14"/>
      <c r="K13" s="82"/>
      <c r="L13" s="9"/>
      <c r="M13" s="4" t="s">
        <v>5</v>
      </c>
      <c r="N13" s="30"/>
      <c r="O13" s="82"/>
      <c r="P13" s="9"/>
      <c r="Q13" s="4" t="s">
        <v>5</v>
      </c>
      <c r="R13" s="14"/>
      <c r="S13" s="82"/>
      <c r="U13" s="4" t="s">
        <v>5</v>
      </c>
      <c r="V13" s="14">
        <v>11</v>
      </c>
      <c r="W13" s="82"/>
      <c r="Y13" s="4" t="s">
        <v>5</v>
      </c>
      <c r="Z13" s="14"/>
      <c r="AA13" s="82"/>
      <c r="AC13" s="4" t="s">
        <v>5</v>
      </c>
      <c r="AD13" s="14"/>
      <c r="AE13" s="82"/>
      <c r="AG13" s="4" t="s">
        <v>5</v>
      </c>
      <c r="AH13" s="14"/>
      <c r="AI13" s="82"/>
      <c r="AK13" s="4" t="s">
        <v>5</v>
      </c>
      <c r="AL13" s="14"/>
      <c r="AM13" s="82"/>
      <c r="AO13" s="4" t="s">
        <v>5</v>
      </c>
      <c r="AP13" s="14"/>
      <c r="AQ13" s="82"/>
    </row>
    <row r="14" spans="1:43" ht="15.75" thickBot="1" x14ac:dyDescent="0.3">
      <c r="A14" s="14" t="s">
        <v>6</v>
      </c>
      <c r="B14" s="27"/>
      <c r="C14" s="83"/>
      <c r="D14" s="9"/>
      <c r="E14" s="14"/>
      <c r="F14" s="31"/>
      <c r="G14" s="83"/>
      <c r="H14" s="9"/>
      <c r="I14" s="4" t="s">
        <v>6</v>
      </c>
      <c r="J14" s="31"/>
      <c r="K14" s="83"/>
      <c r="L14" s="9"/>
      <c r="M14" s="4" t="s">
        <v>6</v>
      </c>
      <c r="N14" s="27"/>
      <c r="O14" s="83"/>
      <c r="P14" s="9"/>
      <c r="Q14" s="4" t="s">
        <v>6</v>
      </c>
      <c r="R14" s="31"/>
      <c r="S14" s="83"/>
      <c r="U14" s="4" t="s">
        <v>6</v>
      </c>
      <c r="V14" s="31">
        <v>15</v>
      </c>
      <c r="W14" s="83"/>
      <c r="Y14" s="4" t="s">
        <v>6</v>
      </c>
      <c r="Z14" s="31"/>
      <c r="AA14" s="83"/>
      <c r="AC14" s="4" t="s">
        <v>6</v>
      </c>
      <c r="AD14" s="37"/>
      <c r="AE14" s="83"/>
      <c r="AG14" s="4" t="s">
        <v>6</v>
      </c>
      <c r="AH14" s="31"/>
      <c r="AI14" s="83"/>
      <c r="AK14" s="4" t="s">
        <v>6</v>
      </c>
      <c r="AL14" s="31"/>
      <c r="AM14" s="83"/>
      <c r="AO14" s="4" t="s">
        <v>6</v>
      </c>
      <c r="AP14" s="31"/>
      <c r="AQ14" s="83"/>
    </row>
    <row r="15" spans="1:43" x14ac:dyDescent="0.25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</row>
    <row r="16" spans="1:43" x14ac:dyDescent="0.25">
      <c r="A16" s="1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</row>
    <row r="17" spans="1:18" x14ac:dyDescent="0.25">
      <c r="A17" s="1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</row>
    <row r="18" spans="1:18" x14ac:dyDescent="0.25">
      <c r="A18" s="1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</row>
    <row r="19" spans="1:18" x14ac:dyDescent="0.25">
      <c r="A19" s="1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1:18" x14ac:dyDescent="0.25">
      <c r="A20" s="1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1:18" x14ac:dyDescent="0.25">
      <c r="A21" s="1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18" x14ac:dyDescent="0.25">
      <c r="A22" s="1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25">
      <c r="A23" s="10"/>
    </row>
    <row r="24" spans="1:18" x14ac:dyDescent="0.25">
      <c r="A24" s="9"/>
    </row>
    <row r="25" spans="1:18" x14ac:dyDescent="0.25">
      <c r="A25" s="9"/>
    </row>
    <row r="26" spans="1:18" x14ac:dyDescent="0.25">
      <c r="A26" s="9"/>
    </row>
    <row r="27" spans="1:18" x14ac:dyDescent="0.25">
      <c r="A27" s="9"/>
    </row>
    <row r="28" spans="1:18" x14ac:dyDescent="0.25">
      <c r="A28" s="9"/>
    </row>
    <row r="30" spans="1:18" ht="15.75" thickBot="1" x14ac:dyDescent="0.3"/>
    <row r="31" spans="1:18" ht="15.75" thickBot="1" x14ac:dyDescent="0.3">
      <c r="A31" s="52" t="s">
        <v>13</v>
      </c>
      <c r="B31" s="53"/>
      <c r="C31" s="54"/>
    </row>
    <row r="32" spans="1:18" x14ac:dyDescent="0.25">
      <c r="A32" s="70" t="s">
        <v>14</v>
      </c>
      <c r="B32" s="71"/>
      <c r="C32" s="72"/>
    </row>
    <row r="33" spans="1:8" x14ac:dyDescent="0.25">
      <c r="A33" s="64" t="s">
        <v>15</v>
      </c>
      <c r="B33" s="65"/>
      <c r="C33" s="66"/>
    </row>
    <row r="34" spans="1:8" x14ac:dyDescent="0.25">
      <c r="A34" s="64" t="s">
        <v>16</v>
      </c>
      <c r="B34" s="65"/>
      <c r="C34" s="66"/>
    </row>
    <row r="35" spans="1:8" x14ac:dyDescent="0.25">
      <c r="A35" s="64" t="s">
        <v>17</v>
      </c>
      <c r="B35" s="65"/>
      <c r="C35" s="66"/>
    </row>
    <row r="36" spans="1:8" x14ac:dyDescent="0.25">
      <c r="A36" s="64" t="s">
        <v>18</v>
      </c>
      <c r="B36" s="65"/>
      <c r="C36" s="66"/>
    </row>
    <row r="37" spans="1:8" x14ac:dyDescent="0.25">
      <c r="A37" s="64" t="s">
        <v>19</v>
      </c>
      <c r="B37" s="65"/>
      <c r="C37" s="66"/>
    </row>
    <row r="38" spans="1:8" x14ac:dyDescent="0.25">
      <c r="A38" s="64" t="s">
        <v>20</v>
      </c>
      <c r="B38" s="65"/>
      <c r="C38" s="66"/>
    </row>
    <row r="39" spans="1:8" x14ac:dyDescent="0.25">
      <c r="A39" s="64" t="s">
        <v>21</v>
      </c>
      <c r="B39" s="65"/>
      <c r="C39" s="66"/>
    </row>
    <row r="40" spans="1:8" x14ac:dyDescent="0.25">
      <c r="A40" s="64" t="s">
        <v>22</v>
      </c>
      <c r="B40" s="65"/>
      <c r="C40" s="66"/>
    </row>
    <row r="41" spans="1:8" x14ac:dyDescent="0.25">
      <c r="A41" s="64" t="s">
        <v>23</v>
      </c>
      <c r="B41" s="65"/>
      <c r="C41" s="66"/>
    </row>
    <row r="42" spans="1:8" x14ac:dyDescent="0.25">
      <c r="A42" s="64" t="s">
        <v>24</v>
      </c>
      <c r="B42" s="65"/>
      <c r="C42" s="66"/>
    </row>
    <row r="43" spans="1:8" x14ac:dyDescent="0.25">
      <c r="A43" s="64" t="s">
        <v>25</v>
      </c>
      <c r="B43" s="65"/>
      <c r="C43" s="66"/>
    </row>
    <row r="44" spans="1:8" x14ac:dyDescent="0.25">
      <c r="A44" s="64" t="s">
        <v>26</v>
      </c>
      <c r="B44" s="65"/>
      <c r="C44" s="66"/>
    </row>
    <row r="45" spans="1:8" ht="15.75" thickBot="1" x14ac:dyDescent="0.3">
      <c r="A45" s="64" t="s">
        <v>27</v>
      </c>
      <c r="B45" s="65"/>
      <c r="C45" s="66"/>
    </row>
    <row r="46" spans="1:8" ht="15.75" thickBot="1" x14ac:dyDescent="0.3">
      <c r="A46" s="64" t="s">
        <v>28</v>
      </c>
      <c r="B46" s="65"/>
      <c r="C46" s="66"/>
      <c r="E46" s="52" t="s">
        <v>29</v>
      </c>
      <c r="F46" s="53"/>
      <c r="G46" s="53"/>
      <c r="H46" s="54"/>
    </row>
    <row r="47" spans="1:8" ht="15.75" thickBot="1" x14ac:dyDescent="0.3">
      <c r="A47" s="64" t="s">
        <v>7</v>
      </c>
      <c r="B47" s="65"/>
      <c r="C47" s="66"/>
      <c r="E47" s="21" t="s">
        <v>30</v>
      </c>
      <c r="F47" s="24" t="s">
        <v>41</v>
      </c>
      <c r="G47" s="24" t="s">
        <v>45</v>
      </c>
      <c r="H47" s="24" t="s">
        <v>46</v>
      </c>
    </row>
    <row r="48" spans="1:8" ht="15.75" thickBot="1" x14ac:dyDescent="0.3">
      <c r="A48" s="64" t="s">
        <v>8</v>
      </c>
      <c r="B48" s="65"/>
      <c r="C48" s="66"/>
      <c r="E48" s="22" t="s">
        <v>31</v>
      </c>
      <c r="F48" s="24" t="s">
        <v>42</v>
      </c>
      <c r="G48" s="24" t="s">
        <v>54</v>
      </c>
      <c r="H48" s="24" t="s">
        <v>64</v>
      </c>
    </row>
    <row r="49" spans="1:8" ht="15.75" thickBot="1" x14ac:dyDescent="0.3">
      <c r="A49" s="64" t="s">
        <v>9</v>
      </c>
      <c r="B49" s="65"/>
      <c r="C49" s="66"/>
      <c r="E49" s="22" t="s">
        <v>32</v>
      </c>
      <c r="F49" s="24" t="s">
        <v>43</v>
      </c>
      <c r="G49" s="24" t="s">
        <v>55</v>
      </c>
      <c r="H49" s="24" t="s">
        <v>65</v>
      </c>
    </row>
    <row r="50" spans="1:8" ht="15.75" thickBot="1" x14ac:dyDescent="0.3">
      <c r="A50" s="64" t="s">
        <v>10</v>
      </c>
      <c r="B50" s="65"/>
      <c r="C50" s="66"/>
      <c r="E50" s="22" t="s">
        <v>33</v>
      </c>
      <c r="F50" s="24" t="s">
        <v>44</v>
      </c>
      <c r="G50" s="24" t="s">
        <v>56</v>
      </c>
      <c r="H50" s="24" t="s">
        <v>66</v>
      </c>
    </row>
    <row r="51" spans="1:8" ht="15.75" thickBot="1" x14ac:dyDescent="0.3">
      <c r="A51" s="64" t="s">
        <v>11</v>
      </c>
      <c r="B51" s="65"/>
      <c r="C51" s="66"/>
      <c r="E51" s="22" t="s">
        <v>34</v>
      </c>
      <c r="F51" s="24" t="s">
        <v>47</v>
      </c>
      <c r="G51" s="24" t="s">
        <v>57</v>
      </c>
      <c r="H51" s="24" t="s">
        <v>67</v>
      </c>
    </row>
    <row r="52" spans="1:8" ht="15.75" thickBot="1" x14ac:dyDescent="0.3">
      <c r="A52" s="64" t="s">
        <v>2</v>
      </c>
      <c r="B52" s="65"/>
      <c r="C52" s="66"/>
      <c r="E52" s="22" t="s">
        <v>35</v>
      </c>
      <c r="F52" s="24" t="s">
        <v>48</v>
      </c>
      <c r="G52" s="24" t="s">
        <v>58</v>
      </c>
      <c r="H52" s="24" t="s">
        <v>68</v>
      </c>
    </row>
    <row r="53" spans="1:8" ht="15.75" thickBot="1" x14ac:dyDescent="0.3">
      <c r="A53" s="64" t="s">
        <v>3</v>
      </c>
      <c r="B53" s="65"/>
      <c r="C53" s="66"/>
      <c r="E53" s="22" t="s">
        <v>36</v>
      </c>
      <c r="F53" s="24" t="s">
        <v>49</v>
      </c>
      <c r="G53" s="24" t="s">
        <v>59</v>
      </c>
      <c r="H53" s="24" t="s">
        <v>69</v>
      </c>
    </row>
    <row r="54" spans="1:8" ht="15.75" thickBot="1" x14ac:dyDescent="0.3">
      <c r="A54" s="64" t="s">
        <v>4</v>
      </c>
      <c r="B54" s="65"/>
      <c r="C54" s="66"/>
      <c r="E54" s="22" t="s">
        <v>37</v>
      </c>
      <c r="F54" s="24" t="s">
        <v>50</v>
      </c>
      <c r="G54" s="24" t="s">
        <v>60</v>
      </c>
      <c r="H54" s="24" t="s">
        <v>70</v>
      </c>
    </row>
    <row r="55" spans="1:8" ht="15.75" thickBot="1" x14ac:dyDescent="0.3">
      <c r="A55" s="64" t="s">
        <v>5</v>
      </c>
      <c r="B55" s="65"/>
      <c r="C55" s="66"/>
      <c r="E55" s="22" t="s">
        <v>38</v>
      </c>
      <c r="F55" s="24" t="s">
        <v>51</v>
      </c>
      <c r="G55" s="24" t="s">
        <v>61</v>
      </c>
      <c r="H55" s="24" t="s">
        <v>71</v>
      </c>
    </row>
    <row r="56" spans="1:8" ht="15.75" thickBot="1" x14ac:dyDescent="0.3">
      <c r="A56" s="64" t="s">
        <v>6</v>
      </c>
      <c r="B56" s="65"/>
      <c r="C56" s="66"/>
      <c r="E56" s="22" t="s">
        <v>39</v>
      </c>
      <c r="F56" s="24" t="s">
        <v>52</v>
      </c>
      <c r="G56" s="24" t="s">
        <v>62</v>
      </c>
      <c r="H56" s="24" t="s">
        <v>72</v>
      </c>
    </row>
    <row r="57" spans="1:8" ht="15.75" thickBot="1" x14ac:dyDescent="0.3">
      <c r="A57" s="61" t="str">
        <f>""</f>
        <v/>
      </c>
      <c r="B57" s="62"/>
      <c r="C57" s="63"/>
      <c r="E57" s="23" t="s">
        <v>40</v>
      </c>
      <c r="F57" s="24" t="s">
        <v>53</v>
      </c>
      <c r="G57" s="24" t="s">
        <v>63</v>
      </c>
      <c r="H57" s="24" t="s">
        <v>73</v>
      </c>
    </row>
    <row r="58" spans="1:8" x14ac:dyDescent="0.25">
      <c r="A58" s="61" t="str">
        <f>""</f>
        <v/>
      </c>
      <c r="B58" s="62"/>
      <c r="C58" s="63"/>
    </row>
    <row r="59" spans="1:8" x14ac:dyDescent="0.25">
      <c r="A59" s="61" t="str">
        <f>""</f>
        <v/>
      </c>
      <c r="B59" s="62"/>
      <c r="C59" s="63"/>
    </row>
    <row r="60" spans="1:8" x14ac:dyDescent="0.25">
      <c r="A60" s="61" t="str">
        <f>""</f>
        <v/>
      </c>
      <c r="B60" s="62"/>
      <c r="C60" s="63"/>
    </row>
    <row r="61" spans="1:8" ht="15.75" thickBot="1" x14ac:dyDescent="0.3">
      <c r="A61" s="61" t="str">
        <f>""</f>
        <v/>
      </c>
      <c r="B61" s="62"/>
      <c r="C61" s="63"/>
    </row>
    <row r="62" spans="1:8" ht="15.75" thickBot="1" x14ac:dyDescent="0.3">
      <c r="A62" s="61" t="str">
        <f>""</f>
        <v/>
      </c>
      <c r="B62" s="62"/>
      <c r="C62" s="63"/>
      <c r="E62" s="50" t="s">
        <v>74</v>
      </c>
      <c r="F62" s="84"/>
    </row>
    <row r="63" spans="1:8" x14ac:dyDescent="0.25">
      <c r="A63" s="61" t="str">
        <f>""</f>
        <v/>
      </c>
      <c r="B63" s="62"/>
      <c r="C63" s="63"/>
      <c r="E63" s="22" t="s">
        <v>86</v>
      </c>
      <c r="F63" s="39"/>
    </row>
    <row r="64" spans="1:8" x14ac:dyDescent="0.25">
      <c r="A64" s="61" t="str">
        <f>""</f>
        <v/>
      </c>
      <c r="B64" s="62"/>
      <c r="C64" s="63"/>
      <c r="E64" s="22" t="s">
        <v>87</v>
      </c>
      <c r="F64" s="18"/>
    </row>
    <row r="65" spans="1:6" x14ac:dyDescent="0.25">
      <c r="A65" s="61" t="str">
        <f>""</f>
        <v/>
      </c>
      <c r="B65" s="62"/>
      <c r="C65" s="63"/>
      <c r="E65" s="22" t="s">
        <v>88</v>
      </c>
      <c r="F65" s="18"/>
    </row>
    <row r="66" spans="1:6" x14ac:dyDescent="0.25">
      <c r="A66" s="61" t="str">
        <f>""</f>
        <v/>
      </c>
      <c r="B66" s="62"/>
      <c r="C66" s="63"/>
      <c r="E66" s="22" t="s">
        <v>89</v>
      </c>
      <c r="F66" s="18"/>
    </row>
    <row r="67" spans="1:6" x14ac:dyDescent="0.25">
      <c r="E67" s="22" t="s">
        <v>90</v>
      </c>
      <c r="F67" s="35"/>
    </row>
    <row r="68" spans="1:6" x14ac:dyDescent="0.25">
      <c r="E68" s="22" t="s">
        <v>91</v>
      </c>
      <c r="F68" s="18"/>
    </row>
    <row r="69" spans="1:6" x14ac:dyDescent="0.25">
      <c r="E69" s="22" t="s">
        <v>92</v>
      </c>
      <c r="F69" s="18"/>
    </row>
    <row r="70" spans="1:6" x14ac:dyDescent="0.25">
      <c r="E70" s="22" t="s">
        <v>93</v>
      </c>
      <c r="F70" s="18"/>
    </row>
    <row r="71" spans="1:6" x14ac:dyDescent="0.25">
      <c r="E71" s="22" t="s">
        <v>94</v>
      </c>
      <c r="F71" s="18"/>
    </row>
    <row r="72" spans="1:6" x14ac:dyDescent="0.25">
      <c r="E72" s="22" t="s">
        <v>95</v>
      </c>
      <c r="F72" s="18"/>
    </row>
    <row r="73" spans="1:6" ht="15.75" thickBot="1" x14ac:dyDescent="0.3">
      <c r="E73" s="23" t="s">
        <v>96</v>
      </c>
      <c r="F73" s="38"/>
    </row>
  </sheetData>
  <mergeCells count="60">
    <mergeCell ref="E62:F62"/>
    <mergeCell ref="A9:C9"/>
    <mergeCell ref="E9:G9"/>
    <mergeCell ref="I9:K9"/>
    <mergeCell ref="M9:O9"/>
    <mergeCell ref="A37:C37"/>
    <mergeCell ref="A33:C33"/>
    <mergeCell ref="A34:C34"/>
    <mergeCell ref="A35:C35"/>
    <mergeCell ref="A36:C36"/>
    <mergeCell ref="A62:C62"/>
    <mergeCell ref="A31:C31"/>
    <mergeCell ref="C10:C14"/>
    <mergeCell ref="G10:G14"/>
    <mergeCell ref="K10:K14"/>
    <mergeCell ref="O10:O14"/>
    <mergeCell ref="A64:C64"/>
    <mergeCell ref="A65:C65"/>
    <mergeCell ref="A66:C66"/>
    <mergeCell ref="U9:W9"/>
    <mergeCell ref="A56:C56"/>
    <mergeCell ref="A57:C57"/>
    <mergeCell ref="A58:C58"/>
    <mergeCell ref="A59:C59"/>
    <mergeCell ref="A60:C60"/>
    <mergeCell ref="A61:C61"/>
    <mergeCell ref="A50:C50"/>
    <mergeCell ref="A51:C51"/>
    <mergeCell ref="A52:C52"/>
    <mergeCell ref="A53:C53"/>
    <mergeCell ref="A54:C54"/>
    <mergeCell ref="A32:C32"/>
    <mergeCell ref="A63:C63"/>
    <mergeCell ref="A48:C48"/>
    <mergeCell ref="A49:C49"/>
    <mergeCell ref="A38:C38"/>
    <mergeCell ref="A39:C39"/>
    <mergeCell ref="A40:C40"/>
    <mergeCell ref="A41:C41"/>
    <mergeCell ref="A42:C42"/>
    <mergeCell ref="A43:C43"/>
    <mergeCell ref="A55:C55"/>
    <mergeCell ref="A44:C44"/>
    <mergeCell ref="A45:C45"/>
    <mergeCell ref="A46:C46"/>
    <mergeCell ref="A47:C47"/>
    <mergeCell ref="AQ10:AQ14"/>
    <mergeCell ref="E46:H46"/>
    <mergeCell ref="AO9:AQ9"/>
    <mergeCell ref="AK9:AM9"/>
    <mergeCell ref="AG9:AI9"/>
    <mergeCell ref="AC9:AE9"/>
    <mergeCell ref="Y9:AA9"/>
    <mergeCell ref="S10:S14"/>
    <mergeCell ref="W10:W14"/>
    <mergeCell ref="AA10:AA14"/>
    <mergeCell ref="AE10:AE14"/>
    <mergeCell ref="AI10:AI14"/>
    <mergeCell ref="AM10:AM14"/>
    <mergeCell ref="Q9:S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LimparCampos2">
                <anchor moveWithCells="1" sizeWithCells="1">
                  <from>
                    <xdr:col>0</xdr:col>
                    <xdr:colOff>0</xdr:colOff>
                    <xdr:row>68</xdr:row>
                    <xdr:rowOff>152400</xdr:rowOff>
                  </from>
                  <to>
                    <xdr:col>2</xdr:col>
                    <xdr:colOff>333375</xdr:colOff>
                    <xdr:row>74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riarGraficoComFormatacao">
                <anchor moveWithCells="1">
                  <from>
                    <xdr:col>9</xdr:col>
                    <xdr:colOff>552450</xdr:colOff>
                    <xdr:row>21</xdr:row>
                    <xdr:rowOff>171450</xdr:rowOff>
                  </from>
                  <to>
                    <xdr:col>14</xdr:col>
                    <xdr:colOff>76200</xdr:colOff>
                    <xdr:row>28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D888-9A25-4DBF-9D9F-AEDD6733BC7D}">
  <sheetPr codeName="Planilha6"/>
  <dimension ref="A1:AQ74"/>
  <sheetViews>
    <sheetView zoomScaleNormal="100" workbookViewId="0">
      <selection activeCell="G80" sqref="G80"/>
    </sheetView>
  </sheetViews>
  <sheetFormatPr defaultRowHeight="15" x14ac:dyDescent="0.25"/>
  <cols>
    <col min="1" max="1" width="15" bestFit="1" customWidth="1"/>
    <col min="5" max="5" width="15" bestFit="1" customWidth="1"/>
    <col min="9" max="9" width="15" bestFit="1" customWidth="1"/>
    <col min="10" max="10" width="14.140625" bestFit="1" customWidth="1"/>
    <col min="13" max="13" width="15" bestFit="1" customWidth="1"/>
    <col min="17" max="17" width="15" bestFit="1" customWidth="1"/>
    <col min="21" max="21" width="15" bestFit="1" customWidth="1"/>
    <col min="25" max="25" width="15" bestFit="1" customWidth="1"/>
    <col min="29" max="29" width="15" bestFit="1" customWidth="1"/>
    <col min="33" max="33" width="15" bestFit="1" customWidth="1"/>
    <col min="37" max="37" width="15" bestFit="1" customWidth="1"/>
    <col min="41" max="41" width="15" bestFit="1" customWidth="1"/>
  </cols>
  <sheetData>
    <row r="1" spans="1:43" x14ac:dyDescent="0.25">
      <c r="A1" s="1" t="s">
        <v>75</v>
      </c>
      <c r="B1" s="2" t="s">
        <v>0</v>
      </c>
      <c r="C1" s="3" t="s">
        <v>1</v>
      </c>
      <c r="E1" s="7" t="s">
        <v>76</v>
      </c>
      <c r="F1" s="2" t="s">
        <v>0</v>
      </c>
      <c r="G1" s="3" t="s">
        <v>1</v>
      </c>
      <c r="I1" s="8" t="s">
        <v>77</v>
      </c>
      <c r="J1" s="2" t="s">
        <v>0</v>
      </c>
      <c r="K1" s="3" t="s">
        <v>1</v>
      </c>
      <c r="M1" s="8" t="s">
        <v>78</v>
      </c>
      <c r="N1" s="2" t="s">
        <v>0</v>
      </c>
      <c r="O1" s="3" t="s">
        <v>1</v>
      </c>
      <c r="Q1" s="8" t="s">
        <v>79</v>
      </c>
      <c r="R1" s="2" t="s">
        <v>0</v>
      </c>
      <c r="S1" s="3" t="s">
        <v>1</v>
      </c>
      <c r="U1" s="8" t="s">
        <v>80</v>
      </c>
      <c r="V1" s="2" t="s">
        <v>0</v>
      </c>
      <c r="W1" s="3" t="s">
        <v>1</v>
      </c>
      <c r="Y1" s="8" t="s">
        <v>81</v>
      </c>
      <c r="Z1" s="2" t="s">
        <v>0</v>
      </c>
      <c r="AA1" s="3" t="s">
        <v>1</v>
      </c>
      <c r="AC1" s="8" t="s">
        <v>82</v>
      </c>
      <c r="AD1" s="2" t="s">
        <v>0</v>
      </c>
      <c r="AE1" s="3" t="s">
        <v>1</v>
      </c>
      <c r="AG1" s="8" t="s">
        <v>83</v>
      </c>
      <c r="AH1" s="2" t="s">
        <v>0</v>
      </c>
      <c r="AI1" s="3" t="s">
        <v>1</v>
      </c>
      <c r="AK1" s="8" t="s">
        <v>84</v>
      </c>
      <c r="AL1" s="2" t="s">
        <v>0</v>
      </c>
      <c r="AM1" s="3" t="s">
        <v>1</v>
      </c>
      <c r="AO1" s="8" t="s">
        <v>85</v>
      </c>
      <c r="AP1" s="2" t="s">
        <v>0</v>
      </c>
      <c r="AQ1" s="3" t="s">
        <v>1</v>
      </c>
    </row>
    <row r="2" spans="1:43" x14ac:dyDescent="0.25">
      <c r="A2" s="4" t="str">
        <f>A58</f>
        <v>QUESTÃO 16</v>
      </c>
      <c r="B2" s="5" t="e">
        <f>B15/$F$63*100/100</f>
        <v>#DIV/0!</v>
      </c>
      <c r="C2" s="6" t="e">
        <f>100%-B2</f>
        <v>#DIV/0!</v>
      </c>
      <c r="E2" s="4" t="str">
        <f>$A58</f>
        <v>QUESTÃO 16</v>
      </c>
      <c r="F2" s="5" t="e">
        <f>F15/$F$64*100/100</f>
        <v>#DIV/0!</v>
      </c>
      <c r="G2" s="6" t="e">
        <f>100%-F2</f>
        <v>#DIV/0!</v>
      </c>
      <c r="I2" s="4" t="str">
        <f>$A58</f>
        <v>QUESTÃO 16</v>
      </c>
      <c r="J2" s="5" t="e">
        <f>J15/$F$65*100/100</f>
        <v>#DIV/0!</v>
      </c>
      <c r="K2" s="6" t="e">
        <f>100%-J2</f>
        <v>#DIV/0!</v>
      </c>
      <c r="M2" s="4" t="str">
        <f>$A58</f>
        <v>QUESTÃO 16</v>
      </c>
      <c r="N2" s="5" t="e">
        <f>N15/$F$66*100/100</f>
        <v>#DIV/0!</v>
      </c>
      <c r="O2" s="6" t="e">
        <f>100%-N2</f>
        <v>#DIV/0!</v>
      </c>
      <c r="Q2" s="4" t="str">
        <f>$A58</f>
        <v>QUESTÃO 16</v>
      </c>
      <c r="R2" s="5" t="e">
        <f>R15/$F$67*100/100</f>
        <v>#DIV/0!</v>
      </c>
      <c r="S2" s="6" t="e">
        <f>100%-R2</f>
        <v>#DIV/0!</v>
      </c>
      <c r="U2" s="4" t="str">
        <f>$A58</f>
        <v>QUESTÃO 16</v>
      </c>
      <c r="V2" s="5" t="e">
        <f>V15/$F$68*100/100</f>
        <v>#DIV/0!</v>
      </c>
      <c r="W2" s="6" t="e">
        <f>100%-V2</f>
        <v>#DIV/0!</v>
      </c>
      <c r="Y2" s="4" t="str">
        <f>$A58</f>
        <v>QUESTÃO 16</v>
      </c>
      <c r="Z2" s="5" t="e">
        <f>Z15/$F$69*100/100</f>
        <v>#DIV/0!</v>
      </c>
      <c r="AA2" s="6" t="e">
        <f>100%-Z2</f>
        <v>#DIV/0!</v>
      </c>
      <c r="AC2" s="4" t="str">
        <f>$A58</f>
        <v>QUESTÃO 16</v>
      </c>
      <c r="AD2" s="5" t="e">
        <f>AD15/$F$70*100/100</f>
        <v>#DIV/0!</v>
      </c>
      <c r="AE2" s="6" t="e">
        <f>100%-AD2</f>
        <v>#DIV/0!</v>
      </c>
      <c r="AG2" s="4" t="str">
        <f>$A58</f>
        <v>QUESTÃO 16</v>
      </c>
      <c r="AH2" s="5" t="e">
        <f>AH15/$F$71*100/100</f>
        <v>#DIV/0!</v>
      </c>
      <c r="AI2" s="6" t="e">
        <f>100%-AH2</f>
        <v>#DIV/0!</v>
      </c>
      <c r="AK2" s="4" t="str">
        <f>$A58</f>
        <v>QUESTÃO 16</v>
      </c>
      <c r="AL2" s="5" t="e">
        <f>AL15/$F$72*100/100</f>
        <v>#DIV/0!</v>
      </c>
      <c r="AM2" s="6" t="e">
        <f>100%-AL2</f>
        <v>#DIV/0!</v>
      </c>
      <c r="AO2" s="4" t="str">
        <f>$A58</f>
        <v>QUESTÃO 16</v>
      </c>
      <c r="AP2" s="5" t="e">
        <f>AP15/$F$73*100/100</f>
        <v>#DIV/0!</v>
      </c>
      <c r="AQ2" s="6" t="e">
        <f>100%-AP2</f>
        <v>#DIV/0!</v>
      </c>
    </row>
    <row r="3" spans="1:43" x14ac:dyDescent="0.25">
      <c r="A3" s="4" t="str">
        <f t="shared" ref="A3:A11" si="0">A59</f>
        <v>QUESTÃO 17</v>
      </c>
      <c r="B3" s="5" t="e">
        <f t="shared" ref="B3:B11" si="1">B16/$F$63*100/100</f>
        <v>#DIV/0!</v>
      </c>
      <c r="C3" s="6" t="e">
        <f t="shared" ref="C3:C11" si="2">100%-B3</f>
        <v>#DIV/0!</v>
      </c>
      <c r="E3" s="4" t="str">
        <f t="shared" ref="E3:E11" si="3">$A59</f>
        <v>QUESTÃO 17</v>
      </c>
      <c r="F3" s="5" t="e">
        <f t="shared" ref="F3:F11" si="4">F16/$F$64*100/100</f>
        <v>#DIV/0!</v>
      </c>
      <c r="G3" s="6" t="e">
        <f t="shared" ref="G3:G11" si="5">100%-F3</f>
        <v>#DIV/0!</v>
      </c>
      <c r="I3" s="4" t="str">
        <f t="shared" ref="I3:I11" si="6">$A59</f>
        <v>QUESTÃO 17</v>
      </c>
      <c r="J3" s="5" t="e">
        <f t="shared" ref="J3:J11" si="7">J16/$F$65*100/100</f>
        <v>#DIV/0!</v>
      </c>
      <c r="K3" s="6" t="e">
        <f t="shared" ref="K3:K10" si="8">100%-J3</f>
        <v>#DIV/0!</v>
      </c>
      <c r="M3" s="4" t="str">
        <f t="shared" ref="M3:M11" si="9">$A59</f>
        <v>QUESTÃO 17</v>
      </c>
      <c r="N3" s="5" t="e">
        <f t="shared" ref="N3:N11" si="10">N16/$F$66*100/100</f>
        <v>#DIV/0!</v>
      </c>
      <c r="O3" s="6" t="e">
        <f t="shared" ref="O3:O11" si="11">100%-N3</f>
        <v>#DIV/0!</v>
      </c>
      <c r="Q3" s="4" t="str">
        <f t="shared" ref="Q3:Q11" si="12">$A59</f>
        <v>QUESTÃO 17</v>
      </c>
      <c r="R3" s="5" t="e">
        <f t="shared" ref="R3:R11" si="13">R16/$F$67*100/100</f>
        <v>#DIV/0!</v>
      </c>
      <c r="S3" s="6" t="e">
        <f t="shared" ref="S3:S11" si="14">100%-R3</f>
        <v>#DIV/0!</v>
      </c>
      <c r="U3" s="4" t="str">
        <f t="shared" ref="U3:U11" si="15">$A59</f>
        <v>QUESTÃO 17</v>
      </c>
      <c r="V3" s="5" t="e">
        <f t="shared" ref="V3:V11" si="16">V16/$F$68*100/100</f>
        <v>#DIV/0!</v>
      </c>
      <c r="W3" s="6" t="e">
        <f t="shared" ref="W3:W11" si="17">100%-V3</f>
        <v>#DIV/0!</v>
      </c>
      <c r="Y3" s="4" t="str">
        <f t="shared" ref="Y3:Y11" si="18">$A59</f>
        <v>QUESTÃO 17</v>
      </c>
      <c r="Z3" s="5" t="e">
        <f t="shared" ref="Z3:Z11" si="19">Z16/$F$69*100/100</f>
        <v>#DIV/0!</v>
      </c>
      <c r="AA3" s="6" t="e">
        <f t="shared" ref="AA3:AA11" si="20">100%-Z3</f>
        <v>#DIV/0!</v>
      </c>
      <c r="AC3" s="4" t="str">
        <f t="shared" ref="AC3:AC11" si="21">$A59</f>
        <v>QUESTÃO 17</v>
      </c>
      <c r="AD3" s="5" t="e">
        <f t="shared" ref="AD3:AD11" si="22">AD16/$F$70*100/100</f>
        <v>#DIV/0!</v>
      </c>
      <c r="AE3" s="6" t="e">
        <f t="shared" ref="AE3:AE11" si="23">100%-AD3</f>
        <v>#DIV/0!</v>
      </c>
      <c r="AG3" s="4" t="str">
        <f t="shared" ref="AG3:AG11" si="24">$A59</f>
        <v>QUESTÃO 17</v>
      </c>
      <c r="AH3" s="5" t="e">
        <f t="shared" ref="AH3:AH11" si="25">AH16/$F$71*100/100</f>
        <v>#DIV/0!</v>
      </c>
      <c r="AI3" s="6" t="e">
        <f t="shared" ref="AI3:AI11" si="26">100%-AH3</f>
        <v>#DIV/0!</v>
      </c>
      <c r="AK3" s="4" t="str">
        <f t="shared" ref="AK3:AK11" si="27">$A59</f>
        <v>QUESTÃO 17</v>
      </c>
      <c r="AL3" s="5" t="e">
        <f t="shared" ref="AL3:AL11" si="28">AL16/$F$72*100/100</f>
        <v>#DIV/0!</v>
      </c>
      <c r="AM3" s="6" t="e">
        <f t="shared" ref="AM3:AM11" si="29">100%-AL3</f>
        <v>#DIV/0!</v>
      </c>
      <c r="AO3" s="4" t="str">
        <f t="shared" ref="AO3:AO11" si="30">$A59</f>
        <v>QUESTÃO 17</v>
      </c>
      <c r="AP3" s="5" t="e">
        <f t="shared" ref="AP3:AP11" si="31">AP16/$F$73*100/100</f>
        <v>#DIV/0!</v>
      </c>
      <c r="AQ3" s="6" t="e">
        <f t="shared" ref="AQ3:AQ11" si="32">100%-AP3</f>
        <v>#DIV/0!</v>
      </c>
    </row>
    <row r="4" spans="1:43" x14ac:dyDescent="0.25">
      <c r="A4" s="4" t="str">
        <f t="shared" si="0"/>
        <v>QUESTÃO 18</v>
      </c>
      <c r="B4" s="5" t="e">
        <f t="shared" si="1"/>
        <v>#DIV/0!</v>
      </c>
      <c r="C4" s="6" t="e">
        <f t="shared" si="2"/>
        <v>#DIV/0!</v>
      </c>
      <c r="E4" s="4" t="str">
        <f t="shared" si="3"/>
        <v>QUESTÃO 18</v>
      </c>
      <c r="F4" s="5" t="e">
        <f t="shared" si="4"/>
        <v>#DIV/0!</v>
      </c>
      <c r="G4" s="6" t="e">
        <f t="shared" si="5"/>
        <v>#DIV/0!</v>
      </c>
      <c r="I4" s="4" t="str">
        <f t="shared" si="6"/>
        <v>QUESTÃO 18</v>
      </c>
      <c r="J4" s="5" t="e">
        <f t="shared" si="7"/>
        <v>#DIV/0!</v>
      </c>
      <c r="K4" s="6" t="e">
        <f t="shared" si="8"/>
        <v>#DIV/0!</v>
      </c>
      <c r="M4" s="4" t="str">
        <f t="shared" si="9"/>
        <v>QUESTÃO 18</v>
      </c>
      <c r="N4" s="5" t="e">
        <f t="shared" si="10"/>
        <v>#DIV/0!</v>
      </c>
      <c r="O4" s="6" t="e">
        <f t="shared" si="11"/>
        <v>#DIV/0!</v>
      </c>
      <c r="Q4" s="4" t="str">
        <f t="shared" si="12"/>
        <v>QUESTÃO 18</v>
      </c>
      <c r="R4" s="5" t="e">
        <f t="shared" si="13"/>
        <v>#DIV/0!</v>
      </c>
      <c r="S4" s="6" t="e">
        <f t="shared" si="14"/>
        <v>#DIV/0!</v>
      </c>
      <c r="U4" s="4" t="str">
        <f t="shared" si="15"/>
        <v>QUESTÃO 18</v>
      </c>
      <c r="V4" s="5" t="e">
        <f t="shared" si="16"/>
        <v>#DIV/0!</v>
      </c>
      <c r="W4" s="6" t="e">
        <f t="shared" si="17"/>
        <v>#DIV/0!</v>
      </c>
      <c r="Y4" s="4" t="str">
        <f t="shared" si="18"/>
        <v>QUESTÃO 18</v>
      </c>
      <c r="Z4" s="5" t="e">
        <f t="shared" si="19"/>
        <v>#DIV/0!</v>
      </c>
      <c r="AA4" s="6" t="e">
        <f t="shared" si="20"/>
        <v>#DIV/0!</v>
      </c>
      <c r="AC4" s="4" t="str">
        <f t="shared" si="21"/>
        <v>QUESTÃO 18</v>
      </c>
      <c r="AD4" s="5" t="e">
        <f t="shared" si="22"/>
        <v>#DIV/0!</v>
      </c>
      <c r="AE4" s="6" t="e">
        <f t="shared" si="23"/>
        <v>#DIV/0!</v>
      </c>
      <c r="AG4" s="4" t="str">
        <f t="shared" si="24"/>
        <v>QUESTÃO 18</v>
      </c>
      <c r="AH4" s="5" t="e">
        <f t="shared" si="25"/>
        <v>#DIV/0!</v>
      </c>
      <c r="AI4" s="6" t="e">
        <f t="shared" si="26"/>
        <v>#DIV/0!</v>
      </c>
      <c r="AK4" s="4" t="str">
        <f t="shared" si="27"/>
        <v>QUESTÃO 18</v>
      </c>
      <c r="AL4" s="5" t="e">
        <f t="shared" si="28"/>
        <v>#DIV/0!</v>
      </c>
      <c r="AM4" s="6" t="e">
        <f t="shared" si="29"/>
        <v>#DIV/0!</v>
      </c>
      <c r="AO4" s="4" t="str">
        <f t="shared" si="30"/>
        <v>QUESTÃO 18</v>
      </c>
      <c r="AP4" s="5" t="e">
        <f t="shared" si="31"/>
        <v>#DIV/0!</v>
      </c>
      <c r="AQ4" s="6" t="e">
        <f t="shared" si="32"/>
        <v>#DIV/0!</v>
      </c>
    </row>
    <row r="5" spans="1:43" x14ac:dyDescent="0.25">
      <c r="A5" s="4" t="str">
        <f t="shared" si="0"/>
        <v>QUESTÃO 19</v>
      </c>
      <c r="B5" s="5" t="e">
        <f t="shared" si="1"/>
        <v>#DIV/0!</v>
      </c>
      <c r="C5" s="6" t="e">
        <f t="shared" si="2"/>
        <v>#DIV/0!</v>
      </c>
      <c r="E5" s="4" t="str">
        <f t="shared" si="3"/>
        <v>QUESTÃO 19</v>
      </c>
      <c r="F5" s="5" t="e">
        <f t="shared" si="4"/>
        <v>#DIV/0!</v>
      </c>
      <c r="G5" s="6" t="e">
        <f t="shared" si="5"/>
        <v>#DIV/0!</v>
      </c>
      <c r="I5" s="4" t="str">
        <f t="shared" si="6"/>
        <v>QUESTÃO 19</v>
      </c>
      <c r="J5" s="5" t="e">
        <f t="shared" si="7"/>
        <v>#DIV/0!</v>
      </c>
      <c r="K5" s="6" t="e">
        <f t="shared" si="8"/>
        <v>#DIV/0!</v>
      </c>
      <c r="M5" s="4" t="str">
        <f t="shared" si="9"/>
        <v>QUESTÃO 19</v>
      </c>
      <c r="N5" s="5" t="e">
        <f t="shared" si="10"/>
        <v>#DIV/0!</v>
      </c>
      <c r="O5" s="6" t="e">
        <f t="shared" si="11"/>
        <v>#DIV/0!</v>
      </c>
      <c r="Q5" s="4" t="str">
        <f t="shared" si="12"/>
        <v>QUESTÃO 19</v>
      </c>
      <c r="R5" s="5" t="e">
        <f t="shared" si="13"/>
        <v>#DIV/0!</v>
      </c>
      <c r="S5" s="6" t="e">
        <f t="shared" si="14"/>
        <v>#DIV/0!</v>
      </c>
      <c r="U5" s="4" t="str">
        <f t="shared" si="15"/>
        <v>QUESTÃO 19</v>
      </c>
      <c r="V5" s="5" t="e">
        <f t="shared" si="16"/>
        <v>#DIV/0!</v>
      </c>
      <c r="W5" s="6" t="e">
        <f t="shared" si="17"/>
        <v>#DIV/0!</v>
      </c>
      <c r="Y5" s="4" t="str">
        <f t="shared" si="18"/>
        <v>QUESTÃO 19</v>
      </c>
      <c r="Z5" s="5" t="e">
        <f t="shared" si="19"/>
        <v>#DIV/0!</v>
      </c>
      <c r="AA5" s="6" t="e">
        <f t="shared" si="20"/>
        <v>#DIV/0!</v>
      </c>
      <c r="AC5" s="4" t="str">
        <f t="shared" si="21"/>
        <v>QUESTÃO 19</v>
      </c>
      <c r="AD5" s="5" t="e">
        <f t="shared" si="22"/>
        <v>#DIV/0!</v>
      </c>
      <c r="AE5" s="6" t="e">
        <f t="shared" si="23"/>
        <v>#DIV/0!</v>
      </c>
      <c r="AG5" s="4" t="str">
        <f t="shared" si="24"/>
        <v>QUESTÃO 19</v>
      </c>
      <c r="AH5" s="5" t="e">
        <f t="shared" si="25"/>
        <v>#DIV/0!</v>
      </c>
      <c r="AI5" s="6" t="e">
        <f t="shared" si="26"/>
        <v>#DIV/0!</v>
      </c>
      <c r="AK5" s="4" t="str">
        <f t="shared" si="27"/>
        <v>QUESTÃO 19</v>
      </c>
      <c r="AL5" s="5" t="e">
        <f t="shared" si="28"/>
        <v>#DIV/0!</v>
      </c>
      <c r="AM5" s="6" t="e">
        <f t="shared" si="29"/>
        <v>#DIV/0!</v>
      </c>
      <c r="AO5" s="4" t="str">
        <f t="shared" si="30"/>
        <v>QUESTÃO 19</v>
      </c>
      <c r="AP5" s="5" t="e">
        <f t="shared" si="31"/>
        <v>#DIV/0!</v>
      </c>
      <c r="AQ5" s="6" t="e">
        <f t="shared" si="32"/>
        <v>#DIV/0!</v>
      </c>
    </row>
    <row r="6" spans="1:43" x14ac:dyDescent="0.25">
      <c r="A6" s="4" t="str">
        <f t="shared" si="0"/>
        <v>QUESTÃO 20</v>
      </c>
      <c r="B6" s="5" t="e">
        <f t="shared" si="1"/>
        <v>#DIV/0!</v>
      </c>
      <c r="C6" s="6" t="e">
        <f t="shared" si="2"/>
        <v>#DIV/0!</v>
      </c>
      <c r="E6" s="4" t="str">
        <f t="shared" si="3"/>
        <v>QUESTÃO 20</v>
      </c>
      <c r="F6" s="5" t="e">
        <f t="shared" si="4"/>
        <v>#DIV/0!</v>
      </c>
      <c r="G6" s="6" t="e">
        <f t="shared" si="5"/>
        <v>#DIV/0!</v>
      </c>
      <c r="I6" s="4" t="str">
        <f t="shared" si="6"/>
        <v>QUESTÃO 20</v>
      </c>
      <c r="J6" s="5" t="e">
        <f t="shared" si="7"/>
        <v>#DIV/0!</v>
      </c>
      <c r="K6" s="6" t="e">
        <f t="shared" si="8"/>
        <v>#DIV/0!</v>
      </c>
      <c r="M6" s="4" t="str">
        <f t="shared" si="9"/>
        <v>QUESTÃO 20</v>
      </c>
      <c r="N6" s="5" t="e">
        <f t="shared" si="10"/>
        <v>#DIV/0!</v>
      </c>
      <c r="O6" s="6" t="e">
        <f t="shared" si="11"/>
        <v>#DIV/0!</v>
      </c>
      <c r="Q6" s="4" t="str">
        <f t="shared" si="12"/>
        <v>QUESTÃO 20</v>
      </c>
      <c r="R6" s="5" t="e">
        <f t="shared" si="13"/>
        <v>#DIV/0!</v>
      </c>
      <c r="S6" s="6" t="e">
        <f t="shared" si="14"/>
        <v>#DIV/0!</v>
      </c>
      <c r="U6" s="4" t="str">
        <f t="shared" si="15"/>
        <v>QUESTÃO 20</v>
      </c>
      <c r="V6" s="5" t="e">
        <f t="shared" si="16"/>
        <v>#DIV/0!</v>
      </c>
      <c r="W6" s="6" t="e">
        <f t="shared" si="17"/>
        <v>#DIV/0!</v>
      </c>
      <c r="Y6" s="4" t="str">
        <f t="shared" si="18"/>
        <v>QUESTÃO 20</v>
      </c>
      <c r="Z6" s="5" t="e">
        <f t="shared" si="19"/>
        <v>#DIV/0!</v>
      </c>
      <c r="AA6" s="6" t="e">
        <f t="shared" si="20"/>
        <v>#DIV/0!</v>
      </c>
      <c r="AC6" s="4" t="str">
        <f t="shared" si="21"/>
        <v>QUESTÃO 20</v>
      </c>
      <c r="AD6" s="5" t="e">
        <f t="shared" si="22"/>
        <v>#DIV/0!</v>
      </c>
      <c r="AE6" s="6" t="e">
        <f t="shared" si="23"/>
        <v>#DIV/0!</v>
      </c>
      <c r="AG6" s="4" t="str">
        <f t="shared" si="24"/>
        <v>QUESTÃO 20</v>
      </c>
      <c r="AH6" s="5" t="e">
        <f t="shared" si="25"/>
        <v>#DIV/0!</v>
      </c>
      <c r="AI6" s="6" t="e">
        <f t="shared" si="26"/>
        <v>#DIV/0!</v>
      </c>
      <c r="AK6" s="4" t="str">
        <f t="shared" si="27"/>
        <v>QUESTÃO 20</v>
      </c>
      <c r="AL6" s="5" t="e">
        <f t="shared" si="28"/>
        <v>#DIV/0!</v>
      </c>
      <c r="AM6" s="6" t="e">
        <f t="shared" si="29"/>
        <v>#DIV/0!</v>
      </c>
      <c r="AO6" s="4" t="str">
        <f t="shared" si="30"/>
        <v>QUESTÃO 20</v>
      </c>
      <c r="AP6" s="5" t="e">
        <f t="shared" si="31"/>
        <v>#DIV/0!</v>
      </c>
      <c r="AQ6" s="6" t="e">
        <f t="shared" si="32"/>
        <v>#DIV/0!</v>
      </c>
    </row>
    <row r="7" spans="1:43" x14ac:dyDescent="0.25">
      <c r="A7" s="4" t="str">
        <f t="shared" si="0"/>
        <v>QUESTÃO 21</v>
      </c>
      <c r="B7" s="5" t="e">
        <f t="shared" si="1"/>
        <v>#DIV/0!</v>
      </c>
      <c r="C7" s="6" t="e">
        <f t="shared" si="2"/>
        <v>#DIV/0!</v>
      </c>
      <c r="E7" s="4" t="str">
        <f t="shared" si="3"/>
        <v>QUESTÃO 21</v>
      </c>
      <c r="F7" s="5" t="e">
        <f t="shared" si="4"/>
        <v>#DIV/0!</v>
      </c>
      <c r="G7" s="6" t="e">
        <f t="shared" si="5"/>
        <v>#DIV/0!</v>
      </c>
      <c r="I7" s="4" t="str">
        <f t="shared" si="6"/>
        <v>QUESTÃO 21</v>
      </c>
      <c r="J7" s="5" t="e">
        <f t="shared" si="7"/>
        <v>#DIV/0!</v>
      </c>
      <c r="K7" s="6" t="e">
        <f t="shared" si="8"/>
        <v>#DIV/0!</v>
      </c>
      <c r="M7" s="4" t="str">
        <f t="shared" si="9"/>
        <v>QUESTÃO 21</v>
      </c>
      <c r="N7" s="5" t="e">
        <f t="shared" si="10"/>
        <v>#DIV/0!</v>
      </c>
      <c r="O7" s="6" t="e">
        <f t="shared" si="11"/>
        <v>#DIV/0!</v>
      </c>
      <c r="Q7" s="4" t="str">
        <f t="shared" si="12"/>
        <v>QUESTÃO 21</v>
      </c>
      <c r="R7" s="5" t="e">
        <f t="shared" si="13"/>
        <v>#DIV/0!</v>
      </c>
      <c r="S7" s="6" t="e">
        <f t="shared" si="14"/>
        <v>#DIV/0!</v>
      </c>
      <c r="U7" s="4" t="str">
        <f t="shared" si="15"/>
        <v>QUESTÃO 21</v>
      </c>
      <c r="V7" s="5" t="e">
        <f t="shared" si="16"/>
        <v>#DIV/0!</v>
      </c>
      <c r="W7" s="6" t="e">
        <f t="shared" si="17"/>
        <v>#DIV/0!</v>
      </c>
      <c r="Y7" s="4" t="str">
        <f t="shared" si="18"/>
        <v>QUESTÃO 21</v>
      </c>
      <c r="Z7" s="5" t="e">
        <f t="shared" si="19"/>
        <v>#DIV/0!</v>
      </c>
      <c r="AA7" s="6" t="e">
        <f t="shared" si="20"/>
        <v>#DIV/0!</v>
      </c>
      <c r="AC7" s="4" t="str">
        <f t="shared" si="21"/>
        <v>QUESTÃO 21</v>
      </c>
      <c r="AD7" s="5" t="e">
        <f t="shared" si="22"/>
        <v>#DIV/0!</v>
      </c>
      <c r="AE7" s="6" t="e">
        <f t="shared" si="23"/>
        <v>#DIV/0!</v>
      </c>
      <c r="AG7" s="4" t="str">
        <f t="shared" si="24"/>
        <v>QUESTÃO 21</v>
      </c>
      <c r="AH7" s="5" t="e">
        <f t="shared" si="25"/>
        <v>#DIV/0!</v>
      </c>
      <c r="AI7" s="6" t="e">
        <f t="shared" si="26"/>
        <v>#DIV/0!</v>
      </c>
      <c r="AK7" s="4" t="str">
        <f t="shared" si="27"/>
        <v>QUESTÃO 21</v>
      </c>
      <c r="AL7" s="5" t="e">
        <f t="shared" si="28"/>
        <v>#DIV/0!</v>
      </c>
      <c r="AM7" s="6" t="e">
        <f t="shared" si="29"/>
        <v>#DIV/0!</v>
      </c>
      <c r="AO7" s="4" t="str">
        <f t="shared" si="30"/>
        <v>QUESTÃO 21</v>
      </c>
      <c r="AP7" s="5" t="e">
        <f t="shared" si="31"/>
        <v>#DIV/0!</v>
      </c>
      <c r="AQ7" s="6" t="e">
        <f t="shared" si="32"/>
        <v>#DIV/0!</v>
      </c>
    </row>
    <row r="8" spans="1:43" x14ac:dyDescent="0.25">
      <c r="A8" s="4" t="str">
        <f t="shared" si="0"/>
        <v>QUESTÃO 22</v>
      </c>
      <c r="B8" s="5" t="e">
        <f t="shared" si="1"/>
        <v>#DIV/0!</v>
      </c>
      <c r="C8" s="6" t="e">
        <f t="shared" si="2"/>
        <v>#DIV/0!</v>
      </c>
      <c r="E8" s="4" t="str">
        <f t="shared" si="3"/>
        <v>QUESTÃO 22</v>
      </c>
      <c r="F8" s="5" t="e">
        <f t="shared" si="4"/>
        <v>#DIV/0!</v>
      </c>
      <c r="G8" s="6" t="e">
        <f t="shared" si="5"/>
        <v>#DIV/0!</v>
      </c>
      <c r="I8" s="4" t="str">
        <f t="shared" si="6"/>
        <v>QUESTÃO 22</v>
      </c>
      <c r="J8" s="5" t="e">
        <f t="shared" si="7"/>
        <v>#DIV/0!</v>
      </c>
      <c r="K8" s="6" t="e">
        <f t="shared" si="8"/>
        <v>#DIV/0!</v>
      </c>
      <c r="M8" s="4" t="str">
        <f t="shared" si="9"/>
        <v>QUESTÃO 22</v>
      </c>
      <c r="N8" s="5" t="e">
        <f t="shared" si="10"/>
        <v>#DIV/0!</v>
      </c>
      <c r="O8" s="6" t="e">
        <f t="shared" si="11"/>
        <v>#DIV/0!</v>
      </c>
      <c r="Q8" s="4" t="str">
        <f t="shared" si="12"/>
        <v>QUESTÃO 22</v>
      </c>
      <c r="R8" s="5" t="e">
        <f t="shared" si="13"/>
        <v>#DIV/0!</v>
      </c>
      <c r="S8" s="6" t="e">
        <f t="shared" si="14"/>
        <v>#DIV/0!</v>
      </c>
      <c r="U8" s="4" t="str">
        <f t="shared" si="15"/>
        <v>QUESTÃO 22</v>
      </c>
      <c r="V8" s="5" t="e">
        <f t="shared" si="16"/>
        <v>#DIV/0!</v>
      </c>
      <c r="W8" s="6" t="e">
        <f t="shared" si="17"/>
        <v>#DIV/0!</v>
      </c>
      <c r="Y8" s="4" t="str">
        <f t="shared" si="18"/>
        <v>QUESTÃO 22</v>
      </c>
      <c r="Z8" s="5" t="e">
        <f t="shared" si="19"/>
        <v>#DIV/0!</v>
      </c>
      <c r="AA8" s="6" t="e">
        <f t="shared" si="20"/>
        <v>#DIV/0!</v>
      </c>
      <c r="AC8" s="4" t="str">
        <f t="shared" si="21"/>
        <v>QUESTÃO 22</v>
      </c>
      <c r="AD8" s="5" t="e">
        <f t="shared" si="22"/>
        <v>#DIV/0!</v>
      </c>
      <c r="AE8" s="6" t="e">
        <f t="shared" si="23"/>
        <v>#DIV/0!</v>
      </c>
      <c r="AG8" s="4" t="str">
        <f t="shared" si="24"/>
        <v>QUESTÃO 22</v>
      </c>
      <c r="AH8" s="5" t="e">
        <f t="shared" si="25"/>
        <v>#DIV/0!</v>
      </c>
      <c r="AI8" s="6" t="e">
        <f t="shared" si="26"/>
        <v>#DIV/0!</v>
      </c>
      <c r="AK8" s="4" t="str">
        <f t="shared" si="27"/>
        <v>QUESTÃO 22</v>
      </c>
      <c r="AL8" s="5" t="e">
        <f t="shared" si="28"/>
        <v>#DIV/0!</v>
      </c>
      <c r="AM8" s="6" t="e">
        <f t="shared" si="29"/>
        <v>#DIV/0!</v>
      </c>
      <c r="AO8" s="4" t="str">
        <f t="shared" si="30"/>
        <v>QUESTÃO 22</v>
      </c>
      <c r="AP8" s="5" t="e">
        <f t="shared" si="31"/>
        <v>#DIV/0!</v>
      </c>
      <c r="AQ8" s="6" t="e">
        <f t="shared" si="32"/>
        <v>#DIV/0!</v>
      </c>
    </row>
    <row r="9" spans="1:43" x14ac:dyDescent="0.25">
      <c r="A9" s="4" t="str">
        <f t="shared" si="0"/>
        <v>QUESTÃO 23</v>
      </c>
      <c r="B9" s="5" t="e">
        <f t="shared" si="1"/>
        <v>#DIV/0!</v>
      </c>
      <c r="C9" s="6" t="e">
        <f t="shared" si="2"/>
        <v>#DIV/0!</v>
      </c>
      <c r="E9" s="4" t="str">
        <f t="shared" si="3"/>
        <v>QUESTÃO 23</v>
      </c>
      <c r="F9" s="5" t="e">
        <f t="shared" si="4"/>
        <v>#DIV/0!</v>
      </c>
      <c r="G9" s="6" t="e">
        <f t="shared" si="5"/>
        <v>#DIV/0!</v>
      </c>
      <c r="I9" s="4" t="str">
        <f t="shared" si="6"/>
        <v>QUESTÃO 23</v>
      </c>
      <c r="J9" s="5" t="e">
        <f t="shared" si="7"/>
        <v>#DIV/0!</v>
      </c>
      <c r="K9" s="6" t="e">
        <f t="shared" si="8"/>
        <v>#DIV/0!</v>
      </c>
      <c r="M9" s="4" t="str">
        <f t="shared" si="9"/>
        <v>QUESTÃO 23</v>
      </c>
      <c r="N9" s="5" t="e">
        <f t="shared" si="10"/>
        <v>#DIV/0!</v>
      </c>
      <c r="O9" s="6" t="e">
        <f t="shared" si="11"/>
        <v>#DIV/0!</v>
      </c>
      <c r="Q9" s="4" t="str">
        <f t="shared" si="12"/>
        <v>QUESTÃO 23</v>
      </c>
      <c r="R9" s="5" t="e">
        <f t="shared" si="13"/>
        <v>#DIV/0!</v>
      </c>
      <c r="S9" s="6" t="e">
        <f t="shared" si="14"/>
        <v>#DIV/0!</v>
      </c>
      <c r="U9" s="4" t="str">
        <f t="shared" si="15"/>
        <v>QUESTÃO 23</v>
      </c>
      <c r="V9" s="5" t="e">
        <f t="shared" si="16"/>
        <v>#DIV/0!</v>
      </c>
      <c r="W9" s="6" t="e">
        <f t="shared" si="17"/>
        <v>#DIV/0!</v>
      </c>
      <c r="Y9" s="4" t="str">
        <f t="shared" si="18"/>
        <v>QUESTÃO 23</v>
      </c>
      <c r="Z9" s="5" t="e">
        <f t="shared" si="19"/>
        <v>#DIV/0!</v>
      </c>
      <c r="AA9" s="6" t="e">
        <f t="shared" si="20"/>
        <v>#DIV/0!</v>
      </c>
      <c r="AC9" s="4" t="str">
        <f t="shared" si="21"/>
        <v>QUESTÃO 23</v>
      </c>
      <c r="AD9" s="5" t="e">
        <f t="shared" si="22"/>
        <v>#DIV/0!</v>
      </c>
      <c r="AE9" s="6" t="e">
        <f t="shared" si="23"/>
        <v>#DIV/0!</v>
      </c>
      <c r="AG9" s="4" t="str">
        <f t="shared" si="24"/>
        <v>QUESTÃO 23</v>
      </c>
      <c r="AH9" s="5" t="e">
        <f t="shared" si="25"/>
        <v>#DIV/0!</v>
      </c>
      <c r="AI9" s="6" t="e">
        <f t="shared" si="26"/>
        <v>#DIV/0!</v>
      </c>
      <c r="AK9" s="4" t="str">
        <f t="shared" si="27"/>
        <v>QUESTÃO 23</v>
      </c>
      <c r="AL9" s="5" t="e">
        <f t="shared" si="28"/>
        <v>#DIV/0!</v>
      </c>
      <c r="AM9" s="6" t="e">
        <f t="shared" si="29"/>
        <v>#DIV/0!</v>
      </c>
      <c r="AO9" s="4" t="str">
        <f t="shared" si="30"/>
        <v>QUESTÃO 23</v>
      </c>
      <c r="AP9" s="5" t="e">
        <f t="shared" si="31"/>
        <v>#DIV/0!</v>
      </c>
      <c r="AQ9" s="6" t="e">
        <f t="shared" si="32"/>
        <v>#DIV/0!</v>
      </c>
    </row>
    <row r="10" spans="1:43" x14ac:dyDescent="0.25">
      <c r="A10" s="4" t="str">
        <f t="shared" si="0"/>
        <v>QUESTÃO 24</v>
      </c>
      <c r="B10" s="5" t="e">
        <f t="shared" si="1"/>
        <v>#DIV/0!</v>
      </c>
      <c r="C10" s="6" t="e">
        <f t="shared" si="2"/>
        <v>#DIV/0!</v>
      </c>
      <c r="E10" s="4" t="str">
        <f t="shared" si="3"/>
        <v>QUESTÃO 24</v>
      </c>
      <c r="F10" s="5" t="e">
        <f t="shared" si="4"/>
        <v>#DIV/0!</v>
      </c>
      <c r="G10" s="6" t="e">
        <f t="shared" si="5"/>
        <v>#DIV/0!</v>
      </c>
      <c r="I10" s="4" t="str">
        <f t="shared" si="6"/>
        <v>QUESTÃO 24</v>
      </c>
      <c r="J10" s="5" t="e">
        <f t="shared" si="7"/>
        <v>#DIV/0!</v>
      </c>
      <c r="K10" s="6" t="e">
        <f t="shared" si="8"/>
        <v>#DIV/0!</v>
      </c>
      <c r="M10" s="4" t="str">
        <f t="shared" si="9"/>
        <v>QUESTÃO 24</v>
      </c>
      <c r="N10" s="5" t="e">
        <f t="shared" si="10"/>
        <v>#DIV/0!</v>
      </c>
      <c r="O10" s="6" t="e">
        <f t="shared" si="11"/>
        <v>#DIV/0!</v>
      </c>
      <c r="Q10" s="4" t="str">
        <f t="shared" si="12"/>
        <v>QUESTÃO 24</v>
      </c>
      <c r="R10" s="5" t="e">
        <f t="shared" si="13"/>
        <v>#DIV/0!</v>
      </c>
      <c r="S10" s="6" t="e">
        <f t="shared" si="14"/>
        <v>#DIV/0!</v>
      </c>
      <c r="U10" s="4" t="str">
        <f t="shared" si="15"/>
        <v>QUESTÃO 24</v>
      </c>
      <c r="V10" s="5" t="e">
        <f t="shared" si="16"/>
        <v>#DIV/0!</v>
      </c>
      <c r="W10" s="6" t="e">
        <f t="shared" si="17"/>
        <v>#DIV/0!</v>
      </c>
      <c r="Y10" s="4" t="str">
        <f t="shared" si="18"/>
        <v>QUESTÃO 24</v>
      </c>
      <c r="Z10" s="5" t="e">
        <f t="shared" si="19"/>
        <v>#DIV/0!</v>
      </c>
      <c r="AA10" s="6" t="e">
        <f t="shared" si="20"/>
        <v>#DIV/0!</v>
      </c>
      <c r="AC10" s="4" t="str">
        <f t="shared" si="21"/>
        <v>QUESTÃO 24</v>
      </c>
      <c r="AD10" s="5" t="e">
        <f t="shared" si="22"/>
        <v>#DIV/0!</v>
      </c>
      <c r="AE10" s="6" t="e">
        <f t="shared" si="23"/>
        <v>#DIV/0!</v>
      </c>
      <c r="AG10" s="4" t="str">
        <f t="shared" si="24"/>
        <v>QUESTÃO 24</v>
      </c>
      <c r="AH10" s="5" t="e">
        <f t="shared" si="25"/>
        <v>#DIV/0!</v>
      </c>
      <c r="AI10" s="6" t="e">
        <f t="shared" si="26"/>
        <v>#DIV/0!</v>
      </c>
      <c r="AK10" s="4" t="str">
        <f t="shared" si="27"/>
        <v>QUESTÃO 24</v>
      </c>
      <c r="AL10" s="5" t="e">
        <f t="shared" si="28"/>
        <v>#DIV/0!</v>
      </c>
      <c r="AM10" s="6" t="e">
        <f t="shared" si="29"/>
        <v>#DIV/0!</v>
      </c>
      <c r="AO10" s="4" t="str">
        <f t="shared" si="30"/>
        <v>QUESTÃO 24</v>
      </c>
      <c r="AP10" s="5" t="e">
        <f t="shared" si="31"/>
        <v>#DIV/0!</v>
      </c>
      <c r="AQ10" s="6" t="e">
        <f t="shared" si="32"/>
        <v>#DIV/0!</v>
      </c>
    </row>
    <row r="11" spans="1:43" x14ac:dyDescent="0.25">
      <c r="A11" s="4" t="str">
        <f t="shared" si="0"/>
        <v>QUESTÃO 25</v>
      </c>
      <c r="B11" s="5" t="e">
        <f t="shared" si="1"/>
        <v>#DIV/0!</v>
      </c>
      <c r="C11" s="6" t="e">
        <f t="shared" si="2"/>
        <v>#DIV/0!</v>
      </c>
      <c r="E11" s="4" t="str">
        <f t="shared" si="3"/>
        <v>QUESTÃO 25</v>
      </c>
      <c r="F11" s="5" t="e">
        <f t="shared" si="4"/>
        <v>#DIV/0!</v>
      </c>
      <c r="G11" s="6" t="e">
        <f t="shared" si="5"/>
        <v>#DIV/0!</v>
      </c>
      <c r="I11" s="4" t="str">
        <f t="shared" si="6"/>
        <v>QUESTÃO 25</v>
      </c>
      <c r="J11" s="5" t="e">
        <f t="shared" si="7"/>
        <v>#DIV/0!</v>
      </c>
      <c r="K11" s="6" t="e">
        <f>100%-J11</f>
        <v>#DIV/0!</v>
      </c>
      <c r="M11" s="4" t="str">
        <f t="shared" si="9"/>
        <v>QUESTÃO 25</v>
      </c>
      <c r="N11" s="5" t="e">
        <f t="shared" si="10"/>
        <v>#DIV/0!</v>
      </c>
      <c r="O11" s="6" t="e">
        <f t="shared" si="11"/>
        <v>#DIV/0!</v>
      </c>
      <c r="Q11" s="4" t="str">
        <f t="shared" si="12"/>
        <v>QUESTÃO 25</v>
      </c>
      <c r="R11" s="5" t="e">
        <f t="shared" si="13"/>
        <v>#DIV/0!</v>
      </c>
      <c r="S11" s="6" t="e">
        <f t="shared" si="14"/>
        <v>#DIV/0!</v>
      </c>
      <c r="U11" s="4" t="str">
        <f t="shared" si="15"/>
        <v>QUESTÃO 25</v>
      </c>
      <c r="V11" s="5" t="e">
        <f t="shared" si="16"/>
        <v>#DIV/0!</v>
      </c>
      <c r="W11" s="6" t="e">
        <f t="shared" si="17"/>
        <v>#DIV/0!</v>
      </c>
      <c r="Y11" s="4" t="str">
        <f t="shared" si="18"/>
        <v>QUESTÃO 25</v>
      </c>
      <c r="Z11" s="5" t="e">
        <f t="shared" si="19"/>
        <v>#DIV/0!</v>
      </c>
      <c r="AA11" s="6" t="e">
        <f t="shared" si="20"/>
        <v>#DIV/0!</v>
      </c>
      <c r="AC11" s="4" t="str">
        <f t="shared" si="21"/>
        <v>QUESTÃO 25</v>
      </c>
      <c r="AD11" s="5" t="e">
        <f t="shared" si="22"/>
        <v>#DIV/0!</v>
      </c>
      <c r="AE11" s="6" t="e">
        <f t="shared" si="23"/>
        <v>#DIV/0!</v>
      </c>
      <c r="AG11" s="4" t="str">
        <f t="shared" si="24"/>
        <v>QUESTÃO 25</v>
      </c>
      <c r="AH11" s="5" t="e">
        <f t="shared" si="25"/>
        <v>#DIV/0!</v>
      </c>
      <c r="AI11" s="6" t="e">
        <f t="shared" si="26"/>
        <v>#DIV/0!</v>
      </c>
      <c r="AK11" s="4" t="str">
        <f t="shared" si="27"/>
        <v>QUESTÃO 25</v>
      </c>
      <c r="AL11" s="5" t="e">
        <f t="shared" si="28"/>
        <v>#DIV/0!</v>
      </c>
      <c r="AM11" s="6" t="e">
        <f t="shared" si="29"/>
        <v>#DIV/0!</v>
      </c>
      <c r="AO11" s="4" t="str">
        <f t="shared" si="30"/>
        <v>QUESTÃO 25</v>
      </c>
      <c r="AP11" s="5" t="e">
        <f t="shared" si="31"/>
        <v>#DIV/0!</v>
      </c>
      <c r="AQ11" s="6" t="e">
        <f t="shared" si="32"/>
        <v>#DIV/0!</v>
      </c>
    </row>
    <row r="12" spans="1:43" x14ac:dyDescent="0.25">
      <c r="A12" s="28"/>
      <c r="B12" s="11"/>
      <c r="C12" s="11"/>
      <c r="F12" s="11"/>
      <c r="G12" s="11"/>
      <c r="J12" s="11"/>
      <c r="K12" s="11"/>
      <c r="N12" s="11"/>
      <c r="O12" s="11"/>
      <c r="R12" s="11"/>
      <c r="S12" s="11"/>
      <c r="V12" s="11"/>
      <c r="W12" s="11"/>
      <c r="Z12" s="11"/>
      <c r="AA12" s="11"/>
      <c r="AD12" s="11"/>
      <c r="AE12" s="11"/>
      <c r="AH12" s="11"/>
      <c r="AI12" s="11"/>
      <c r="AL12" s="11"/>
      <c r="AM12" s="11"/>
      <c r="AP12" s="11"/>
      <c r="AQ12" s="11"/>
    </row>
    <row r="13" spans="1:43" ht="15.75" thickBot="1" x14ac:dyDescent="0.3">
      <c r="A13" s="46"/>
      <c r="B13" s="11"/>
      <c r="C13" s="11"/>
      <c r="F13" s="11"/>
      <c r="G13" s="11"/>
      <c r="J13" s="11"/>
      <c r="K13" s="11"/>
      <c r="N13" s="11"/>
      <c r="O13" s="11"/>
      <c r="R13" s="11"/>
      <c r="S13" s="11"/>
      <c r="V13" s="11"/>
      <c r="W13" s="11"/>
      <c r="Z13" s="11"/>
      <c r="AA13" s="11"/>
      <c r="AD13" s="11"/>
      <c r="AE13" s="11"/>
      <c r="AH13" s="11"/>
      <c r="AI13" s="11"/>
      <c r="AL13" s="11"/>
      <c r="AM13" s="11"/>
      <c r="AP13" s="11"/>
      <c r="AQ13" s="11"/>
    </row>
    <row r="14" spans="1:43" ht="15.75" thickBot="1" x14ac:dyDescent="0.3">
      <c r="A14" s="58" t="s">
        <v>12</v>
      </c>
      <c r="B14" s="59"/>
      <c r="C14" s="60"/>
      <c r="E14" s="58" t="s">
        <v>12</v>
      </c>
      <c r="F14" s="59"/>
      <c r="G14" s="60"/>
      <c r="H14" s="12"/>
      <c r="I14" s="58" t="s">
        <v>12</v>
      </c>
      <c r="J14" s="59"/>
      <c r="K14" s="60"/>
      <c r="M14" s="58" t="s">
        <v>12</v>
      </c>
      <c r="N14" s="59"/>
      <c r="O14" s="60"/>
      <c r="Q14" s="58" t="s">
        <v>12</v>
      </c>
      <c r="R14" s="59"/>
      <c r="S14" s="60"/>
      <c r="U14" s="58" t="s">
        <v>12</v>
      </c>
      <c r="V14" s="59"/>
      <c r="W14" s="60"/>
      <c r="Y14" s="58" t="s">
        <v>12</v>
      </c>
      <c r="Z14" s="59"/>
      <c r="AA14" s="60"/>
      <c r="AC14" s="58" t="s">
        <v>12</v>
      </c>
      <c r="AD14" s="59"/>
      <c r="AE14" s="60"/>
      <c r="AG14" s="58" t="s">
        <v>12</v>
      </c>
      <c r="AH14" s="59"/>
      <c r="AI14" s="60"/>
      <c r="AK14" s="58" t="s">
        <v>12</v>
      </c>
      <c r="AL14" s="59"/>
      <c r="AM14" s="60"/>
      <c r="AO14" s="58" t="s">
        <v>12</v>
      </c>
      <c r="AP14" s="59"/>
      <c r="AQ14" s="60"/>
    </row>
    <row r="15" spans="1:43" ht="15.75" thickBot="1" x14ac:dyDescent="0.3">
      <c r="A15" s="14" t="s">
        <v>24</v>
      </c>
      <c r="B15" s="25"/>
      <c r="C15" s="76"/>
      <c r="D15" s="9"/>
      <c r="E15" s="14"/>
      <c r="F15" s="25"/>
      <c r="G15" s="76"/>
      <c r="H15" s="13"/>
      <c r="I15" s="14" t="s">
        <v>24</v>
      </c>
      <c r="J15" s="25"/>
      <c r="K15" s="76"/>
      <c r="L15" s="9"/>
      <c r="M15" s="14" t="s">
        <v>24</v>
      </c>
      <c r="N15" s="29"/>
      <c r="O15" s="76"/>
      <c r="P15" s="9"/>
      <c r="Q15" s="14" t="s">
        <v>24</v>
      </c>
      <c r="R15" s="29"/>
      <c r="S15" s="76"/>
      <c r="T15" s="42"/>
      <c r="U15" s="14" t="s">
        <v>24</v>
      </c>
      <c r="V15" s="29"/>
      <c r="W15" s="76"/>
      <c r="Y15" s="14" t="s">
        <v>24</v>
      </c>
      <c r="Z15" s="29"/>
      <c r="AA15" s="76"/>
      <c r="AC15" s="14" t="s">
        <v>24</v>
      </c>
      <c r="AD15" s="29"/>
      <c r="AE15" s="76"/>
      <c r="AG15" s="14" t="s">
        <v>24</v>
      </c>
      <c r="AH15" s="29"/>
      <c r="AI15" s="76"/>
      <c r="AK15" s="14" t="s">
        <v>24</v>
      </c>
      <c r="AL15" s="29"/>
      <c r="AM15" s="76"/>
      <c r="AO15" s="14" t="s">
        <v>24</v>
      </c>
      <c r="AP15" s="29"/>
      <c r="AQ15" s="76"/>
    </row>
    <row r="16" spans="1:43" ht="15.75" thickBot="1" x14ac:dyDescent="0.3">
      <c r="A16" s="14" t="s">
        <v>25</v>
      </c>
      <c r="B16" s="26"/>
      <c r="C16" s="77"/>
      <c r="D16" s="9"/>
      <c r="E16" s="14"/>
      <c r="F16" s="26"/>
      <c r="G16" s="79"/>
      <c r="H16" s="9"/>
      <c r="I16" s="14" t="s">
        <v>25</v>
      </c>
      <c r="J16" s="26"/>
      <c r="K16" s="77"/>
      <c r="L16" s="9"/>
      <c r="M16" s="14" t="s">
        <v>25</v>
      </c>
      <c r="N16" s="30"/>
      <c r="O16" s="77"/>
      <c r="P16" s="9"/>
      <c r="Q16" s="14" t="s">
        <v>25</v>
      </c>
      <c r="R16" s="14"/>
      <c r="S16" s="77"/>
      <c r="U16" s="14" t="s">
        <v>25</v>
      </c>
      <c r="V16" s="14"/>
      <c r="W16" s="77"/>
      <c r="Y16" s="14" t="s">
        <v>25</v>
      </c>
      <c r="Z16" s="14"/>
      <c r="AA16" s="77"/>
      <c r="AC16" s="14" t="s">
        <v>25</v>
      </c>
      <c r="AD16" s="14"/>
      <c r="AE16" s="77"/>
      <c r="AG16" s="14" t="s">
        <v>25</v>
      </c>
      <c r="AH16" s="14"/>
      <c r="AI16" s="77"/>
      <c r="AK16" s="14" t="s">
        <v>25</v>
      </c>
      <c r="AL16" s="14"/>
      <c r="AM16" s="77"/>
      <c r="AO16" s="14" t="s">
        <v>25</v>
      </c>
      <c r="AP16" s="14"/>
      <c r="AQ16" s="77"/>
    </row>
    <row r="17" spans="1:43" ht="15.75" thickBot="1" x14ac:dyDescent="0.3">
      <c r="A17" s="14" t="s">
        <v>26</v>
      </c>
      <c r="B17" s="26"/>
      <c r="C17" s="77"/>
      <c r="D17" s="9"/>
      <c r="E17" s="14"/>
      <c r="F17" s="26"/>
      <c r="G17" s="79"/>
      <c r="H17" s="9"/>
      <c r="I17" s="14" t="s">
        <v>26</v>
      </c>
      <c r="J17" s="26"/>
      <c r="K17" s="77"/>
      <c r="L17" s="9"/>
      <c r="M17" s="14" t="s">
        <v>26</v>
      </c>
      <c r="N17" s="14"/>
      <c r="O17" s="77"/>
      <c r="P17" s="9"/>
      <c r="Q17" s="14" t="s">
        <v>26</v>
      </c>
      <c r="R17" s="14"/>
      <c r="S17" s="77"/>
      <c r="U17" s="14" t="s">
        <v>26</v>
      </c>
      <c r="V17" s="14"/>
      <c r="W17" s="77"/>
      <c r="Y17" s="14" t="s">
        <v>26</v>
      </c>
      <c r="Z17" s="14"/>
      <c r="AA17" s="77"/>
      <c r="AC17" s="14" t="s">
        <v>26</v>
      </c>
      <c r="AD17" s="14"/>
      <c r="AE17" s="77"/>
      <c r="AG17" s="14" t="s">
        <v>26</v>
      </c>
      <c r="AH17" s="14"/>
      <c r="AI17" s="77"/>
      <c r="AK17" s="14" t="s">
        <v>26</v>
      </c>
      <c r="AL17" s="14"/>
      <c r="AM17" s="77"/>
      <c r="AO17" s="14" t="s">
        <v>26</v>
      </c>
      <c r="AP17" s="14"/>
      <c r="AQ17" s="77"/>
    </row>
    <row r="18" spans="1:43" ht="15.75" thickBot="1" x14ac:dyDescent="0.3">
      <c r="A18" s="14" t="s">
        <v>27</v>
      </c>
      <c r="B18" s="26"/>
      <c r="C18" s="77"/>
      <c r="D18" s="9"/>
      <c r="E18" s="14"/>
      <c r="F18" s="26"/>
      <c r="G18" s="79"/>
      <c r="H18" s="9"/>
      <c r="I18" s="14" t="s">
        <v>27</v>
      </c>
      <c r="J18" s="26"/>
      <c r="K18" s="77"/>
      <c r="L18" s="9"/>
      <c r="M18" s="14" t="s">
        <v>27</v>
      </c>
      <c r="N18" s="14"/>
      <c r="O18" s="77"/>
      <c r="P18" s="9"/>
      <c r="Q18" s="14" t="s">
        <v>27</v>
      </c>
      <c r="R18" s="30"/>
      <c r="S18" s="77"/>
      <c r="U18" s="14" t="s">
        <v>27</v>
      </c>
      <c r="V18" s="30"/>
      <c r="W18" s="77"/>
      <c r="Y18" s="14" t="s">
        <v>27</v>
      </c>
      <c r="Z18" s="30"/>
      <c r="AA18" s="77"/>
      <c r="AC18" s="14" t="s">
        <v>27</v>
      </c>
      <c r="AD18" s="30"/>
      <c r="AE18" s="77"/>
      <c r="AG18" s="14" t="s">
        <v>27</v>
      </c>
      <c r="AH18" s="30"/>
      <c r="AI18" s="77"/>
      <c r="AK18" s="14" t="s">
        <v>27</v>
      </c>
      <c r="AL18" s="30"/>
      <c r="AM18" s="77"/>
      <c r="AO18" s="14" t="s">
        <v>27</v>
      </c>
      <c r="AP18" s="30"/>
      <c r="AQ18" s="77"/>
    </row>
    <row r="19" spans="1:43" ht="15.75" thickBot="1" x14ac:dyDescent="0.3">
      <c r="A19" s="14" t="s">
        <v>28</v>
      </c>
      <c r="B19" s="26"/>
      <c r="C19" s="77"/>
      <c r="D19" s="9"/>
      <c r="E19" s="14"/>
      <c r="F19" s="26"/>
      <c r="G19" s="79"/>
      <c r="H19" s="9"/>
      <c r="I19" s="14" t="s">
        <v>28</v>
      </c>
      <c r="J19" s="26"/>
      <c r="K19" s="77"/>
      <c r="L19" s="9"/>
      <c r="M19" s="14" t="s">
        <v>28</v>
      </c>
      <c r="N19" s="30"/>
      <c r="O19" s="77"/>
      <c r="P19" s="9"/>
      <c r="Q19" s="14" t="s">
        <v>28</v>
      </c>
      <c r="R19" s="28"/>
      <c r="S19" s="77"/>
      <c r="U19" s="14" t="s">
        <v>28</v>
      </c>
      <c r="V19" s="28"/>
      <c r="W19" s="77"/>
      <c r="Y19" s="14" t="s">
        <v>28</v>
      </c>
      <c r="Z19" s="28"/>
      <c r="AA19" s="77"/>
      <c r="AC19" s="14" t="s">
        <v>28</v>
      </c>
      <c r="AD19" s="28"/>
      <c r="AE19" s="77"/>
      <c r="AG19" s="14" t="s">
        <v>28</v>
      </c>
      <c r="AH19" s="28"/>
      <c r="AI19" s="77"/>
      <c r="AK19" s="14" t="s">
        <v>28</v>
      </c>
      <c r="AL19" s="28"/>
      <c r="AM19" s="77"/>
      <c r="AO19" s="14" t="s">
        <v>28</v>
      </c>
      <c r="AP19" s="28"/>
      <c r="AQ19" s="77"/>
    </row>
    <row r="20" spans="1:43" ht="15.75" thickBot="1" x14ac:dyDescent="0.3">
      <c r="A20" s="14" t="s">
        <v>7</v>
      </c>
      <c r="B20" s="26"/>
      <c r="C20" s="77"/>
      <c r="D20" s="9"/>
      <c r="E20" s="14"/>
      <c r="F20" s="26"/>
      <c r="G20" s="79"/>
      <c r="H20" s="9"/>
      <c r="I20" s="14" t="s">
        <v>7</v>
      </c>
      <c r="J20" s="26"/>
      <c r="K20" s="77"/>
      <c r="L20" s="9"/>
      <c r="M20" s="14" t="s">
        <v>7</v>
      </c>
      <c r="N20" s="14"/>
      <c r="O20" s="77"/>
      <c r="P20" s="9"/>
      <c r="Q20" s="14" t="s">
        <v>7</v>
      </c>
      <c r="R20" s="14"/>
      <c r="S20" s="77"/>
      <c r="U20" s="14" t="s">
        <v>7</v>
      </c>
      <c r="V20" s="14"/>
      <c r="W20" s="77"/>
      <c r="Y20" s="14" t="s">
        <v>7</v>
      </c>
      <c r="Z20" s="14"/>
      <c r="AA20" s="77"/>
      <c r="AC20" s="14" t="s">
        <v>7</v>
      </c>
      <c r="AD20" s="14"/>
      <c r="AE20" s="77"/>
      <c r="AG20" s="14" t="s">
        <v>7</v>
      </c>
      <c r="AH20" s="14"/>
      <c r="AI20" s="77"/>
      <c r="AK20" s="14" t="s">
        <v>7</v>
      </c>
      <c r="AL20" s="14"/>
      <c r="AM20" s="77"/>
      <c r="AO20" s="14" t="s">
        <v>7</v>
      </c>
      <c r="AP20" s="14"/>
      <c r="AQ20" s="77"/>
    </row>
    <row r="21" spans="1:43" ht="15.75" thickBot="1" x14ac:dyDescent="0.3">
      <c r="A21" s="14" t="s">
        <v>8</v>
      </c>
      <c r="B21" s="26"/>
      <c r="C21" s="77"/>
      <c r="D21" s="9"/>
      <c r="E21" s="14"/>
      <c r="F21" s="26"/>
      <c r="G21" s="79"/>
      <c r="H21" s="9"/>
      <c r="I21" s="14" t="s">
        <v>8</v>
      </c>
      <c r="J21" s="26"/>
      <c r="K21" s="77"/>
      <c r="L21" s="9"/>
      <c r="M21" s="14" t="s">
        <v>8</v>
      </c>
      <c r="N21" s="14"/>
      <c r="O21" s="77"/>
      <c r="P21" s="9"/>
      <c r="Q21" s="14" t="s">
        <v>8</v>
      </c>
      <c r="R21" s="30"/>
      <c r="S21" s="77"/>
      <c r="U21" s="14" t="s">
        <v>8</v>
      </c>
      <c r="V21" s="30"/>
      <c r="W21" s="77"/>
      <c r="Y21" s="14" t="s">
        <v>8</v>
      </c>
      <c r="Z21" s="30"/>
      <c r="AA21" s="77"/>
      <c r="AC21" s="14" t="s">
        <v>8</v>
      </c>
      <c r="AD21" s="30"/>
      <c r="AE21" s="77"/>
      <c r="AG21" s="14" t="s">
        <v>8</v>
      </c>
      <c r="AH21" s="30"/>
      <c r="AI21" s="77"/>
      <c r="AK21" s="14" t="s">
        <v>8</v>
      </c>
      <c r="AL21" s="30"/>
      <c r="AM21" s="77"/>
      <c r="AO21" s="14" t="s">
        <v>8</v>
      </c>
      <c r="AP21" s="30"/>
      <c r="AQ21" s="77"/>
    </row>
    <row r="22" spans="1:43" ht="15.75" thickBot="1" x14ac:dyDescent="0.3">
      <c r="A22" s="14" t="s">
        <v>9</v>
      </c>
      <c r="B22" s="26"/>
      <c r="C22" s="77"/>
      <c r="D22" s="9"/>
      <c r="E22" s="14"/>
      <c r="F22" s="26"/>
      <c r="G22" s="79"/>
      <c r="H22" s="9"/>
      <c r="I22" s="14" t="s">
        <v>9</v>
      </c>
      <c r="J22" s="26"/>
      <c r="K22" s="77"/>
      <c r="L22" s="9"/>
      <c r="M22" s="14" t="s">
        <v>9</v>
      </c>
      <c r="N22" s="14"/>
      <c r="O22" s="77"/>
      <c r="P22" s="9"/>
      <c r="Q22" s="14" t="s">
        <v>9</v>
      </c>
      <c r="R22" s="28"/>
      <c r="S22" s="77"/>
      <c r="U22" s="14" t="s">
        <v>9</v>
      </c>
      <c r="V22" s="28"/>
      <c r="W22" s="77"/>
      <c r="Y22" s="14" t="s">
        <v>9</v>
      </c>
      <c r="Z22" s="28"/>
      <c r="AA22" s="77"/>
      <c r="AC22" s="14" t="s">
        <v>9</v>
      </c>
      <c r="AD22" s="28"/>
      <c r="AE22" s="77"/>
      <c r="AG22" s="14" t="s">
        <v>9</v>
      </c>
      <c r="AH22" s="28"/>
      <c r="AI22" s="77"/>
      <c r="AK22" s="14" t="s">
        <v>9</v>
      </c>
      <c r="AL22" s="28"/>
      <c r="AM22" s="77"/>
      <c r="AO22" s="14" t="s">
        <v>9</v>
      </c>
      <c r="AP22" s="28"/>
      <c r="AQ22" s="77"/>
    </row>
    <row r="23" spans="1:43" ht="15.75" thickBot="1" x14ac:dyDescent="0.3">
      <c r="A23" s="14" t="s">
        <v>10</v>
      </c>
      <c r="B23" s="26"/>
      <c r="C23" s="77"/>
      <c r="D23" s="9"/>
      <c r="E23" s="14"/>
      <c r="F23" s="26"/>
      <c r="G23" s="79"/>
      <c r="H23" s="9"/>
      <c r="I23" s="14" t="s">
        <v>10</v>
      </c>
      <c r="J23" s="26"/>
      <c r="K23" s="77"/>
      <c r="L23" s="9"/>
      <c r="M23" s="14" t="s">
        <v>10</v>
      </c>
      <c r="N23" s="30"/>
      <c r="O23" s="77"/>
      <c r="P23" s="9"/>
      <c r="Q23" s="14" t="s">
        <v>10</v>
      </c>
      <c r="R23" s="14"/>
      <c r="S23" s="77"/>
      <c r="U23" s="14" t="s">
        <v>10</v>
      </c>
      <c r="V23" s="14"/>
      <c r="W23" s="77"/>
      <c r="Y23" s="14" t="s">
        <v>10</v>
      </c>
      <c r="Z23" s="14"/>
      <c r="AA23" s="77"/>
      <c r="AC23" s="14" t="s">
        <v>10</v>
      </c>
      <c r="AD23" s="14"/>
      <c r="AE23" s="77"/>
      <c r="AG23" s="14" t="s">
        <v>10</v>
      </c>
      <c r="AH23" s="14"/>
      <c r="AI23" s="77"/>
      <c r="AK23" s="14" t="s">
        <v>10</v>
      </c>
      <c r="AL23" s="14"/>
      <c r="AM23" s="77"/>
      <c r="AO23" s="14" t="s">
        <v>10</v>
      </c>
      <c r="AP23" s="14"/>
      <c r="AQ23" s="77"/>
    </row>
    <row r="24" spans="1:43" ht="15.75" thickBot="1" x14ac:dyDescent="0.3">
      <c r="A24" s="14" t="s">
        <v>11</v>
      </c>
      <c r="B24" s="26"/>
      <c r="C24" s="78"/>
      <c r="D24" s="9"/>
      <c r="E24" s="14"/>
      <c r="F24" s="26"/>
      <c r="G24" s="80"/>
      <c r="H24" s="9"/>
      <c r="I24" s="14" t="s">
        <v>11</v>
      </c>
      <c r="J24" s="26"/>
      <c r="K24" s="78"/>
      <c r="L24" s="9"/>
      <c r="M24" s="14" t="s">
        <v>11</v>
      </c>
      <c r="N24" s="27"/>
      <c r="O24" s="78"/>
      <c r="P24" s="9"/>
      <c r="Q24" s="14" t="s">
        <v>11</v>
      </c>
      <c r="R24" s="31"/>
      <c r="S24" s="78"/>
      <c r="U24" s="14" t="s">
        <v>11</v>
      </c>
      <c r="V24" s="31"/>
      <c r="W24" s="78"/>
      <c r="Y24" s="14" t="s">
        <v>11</v>
      </c>
      <c r="Z24" s="31"/>
      <c r="AA24" s="78"/>
      <c r="AC24" s="14" t="s">
        <v>11</v>
      </c>
      <c r="AD24" s="31"/>
      <c r="AE24" s="78"/>
      <c r="AG24" s="14" t="s">
        <v>11</v>
      </c>
      <c r="AH24" s="31"/>
      <c r="AI24" s="78"/>
      <c r="AK24" s="14" t="s">
        <v>11</v>
      </c>
      <c r="AL24" s="31"/>
      <c r="AM24" s="78"/>
      <c r="AO24" s="14" t="s">
        <v>11</v>
      </c>
      <c r="AP24" s="31"/>
      <c r="AQ24" s="78"/>
    </row>
    <row r="25" spans="1:43" x14ac:dyDescent="0.25">
      <c r="A25" s="1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AO25" s="41"/>
    </row>
    <row r="26" spans="1:43" x14ac:dyDescent="0.25">
      <c r="A26" s="1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43" x14ac:dyDescent="0.25">
      <c r="A27" s="1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</row>
    <row r="28" spans="1:43" x14ac:dyDescent="0.25">
      <c r="A28" s="1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</row>
    <row r="29" spans="1:43" x14ac:dyDescent="0.25">
      <c r="A29" s="10"/>
    </row>
    <row r="30" spans="1:43" x14ac:dyDescent="0.25">
      <c r="A30" s="9"/>
    </row>
    <row r="31" spans="1:43" x14ac:dyDescent="0.25">
      <c r="A31" s="9"/>
    </row>
    <row r="32" spans="1:43" x14ac:dyDescent="0.25">
      <c r="A32" s="9"/>
    </row>
    <row r="33" spans="1:8" x14ac:dyDescent="0.25">
      <c r="A33" s="9"/>
    </row>
    <row r="34" spans="1:8" x14ac:dyDescent="0.25">
      <c r="A34" s="9"/>
    </row>
    <row r="36" spans="1:8" ht="15.75" thickBot="1" x14ac:dyDescent="0.3"/>
    <row r="37" spans="1:8" ht="15.75" thickBot="1" x14ac:dyDescent="0.3">
      <c r="A37" s="52" t="s">
        <v>13</v>
      </c>
      <c r="B37" s="53"/>
      <c r="C37" s="54"/>
    </row>
    <row r="38" spans="1:8" x14ac:dyDescent="0.25">
      <c r="A38" s="70" t="s">
        <v>14</v>
      </c>
      <c r="B38" s="71"/>
      <c r="C38" s="72"/>
    </row>
    <row r="39" spans="1:8" x14ac:dyDescent="0.25">
      <c r="A39" s="64" t="s">
        <v>15</v>
      </c>
      <c r="B39" s="65"/>
      <c r="C39" s="66"/>
    </row>
    <row r="40" spans="1:8" x14ac:dyDescent="0.25">
      <c r="A40" s="64" t="s">
        <v>16</v>
      </c>
      <c r="B40" s="65"/>
      <c r="C40" s="66"/>
    </row>
    <row r="41" spans="1:8" x14ac:dyDescent="0.25">
      <c r="A41" s="64" t="s">
        <v>17</v>
      </c>
      <c r="B41" s="65"/>
      <c r="C41" s="66"/>
    </row>
    <row r="42" spans="1:8" x14ac:dyDescent="0.25">
      <c r="A42" s="64" t="s">
        <v>18</v>
      </c>
      <c r="B42" s="65"/>
      <c r="C42" s="66"/>
    </row>
    <row r="43" spans="1:8" x14ac:dyDescent="0.25">
      <c r="A43" s="64" t="s">
        <v>19</v>
      </c>
      <c r="B43" s="65"/>
      <c r="C43" s="66"/>
    </row>
    <row r="44" spans="1:8" x14ac:dyDescent="0.25">
      <c r="A44" s="64" t="s">
        <v>20</v>
      </c>
      <c r="B44" s="65"/>
      <c r="C44" s="66"/>
    </row>
    <row r="45" spans="1:8" ht="15.75" thickBot="1" x14ac:dyDescent="0.3">
      <c r="A45" s="64" t="s">
        <v>21</v>
      </c>
      <c r="B45" s="65"/>
      <c r="C45" s="66"/>
    </row>
    <row r="46" spans="1:8" ht="15.75" thickBot="1" x14ac:dyDescent="0.3">
      <c r="A46" s="64" t="s">
        <v>22</v>
      </c>
      <c r="B46" s="65"/>
      <c r="C46" s="66"/>
      <c r="E46" s="52" t="s">
        <v>29</v>
      </c>
      <c r="F46" s="53"/>
      <c r="G46" s="53"/>
      <c r="H46" s="54"/>
    </row>
    <row r="47" spans="1:8" ht="15.75" thickBot="1" x14ac:dyDescent="0.3">
      <c r="A47" s="64" t="s">
        <v>23</v>
      </c>
      <c r="B47" s="65"/>
      <c r="C47" s="66"/>
      <c r="E47" s="21" t="s">
        <v>30</v>
      </c>
      <c r="F47" s="24" t="s">
        <v>41</v>
      </c>
      <c r="G47" s="24" t="s">
        <v>45</v>
      </c>
      <c r="H47" s="24" t="s">
        <v>46</v>
      </c>
    </row>
    <row r="48" spans="1:8" ht="15.75" thickBot="1" x14ac:dyDescent="0.3">
      <c r="A48" s="64" t="s">
        <v>24</v>
      </c>
      <c r="B48" s="65"/>
      <c r="C48" s="66"/>
      <c r="E48" s="22" t="s">
        <v>31</v>
      </c>
      <c r="F48" s="24" t="s">
        <v>42</v>
      </c>
      <c r="G48" s="24" t="s">
        <v>54</v>
      </c>
      <c r="H48" s="24" t="s">
        <v>64</v>
      </c>
    </row>
    <row r="49" spans="1:8" ht="15.75" thickBot="1" x14ac:dyDescent="0.3">
      <c r="A49" s="64" t="s">
        <v>25</v>
      </c>
      <c r="B49" s="65"/>
      <c r="C49" s="66"/>
      <c r="E49" s="22" t="s">
        <v>32</v>
      </c>
      <c r="F49" s="24" t="s">
        <v>43</v>
      </c>
      <c r="G49" s="24" t="s">
        <v>55</v>
      </c>
      <c r="H49" s="24" t="s">
        <v>65</v>
      </c>
    </row>
    <row r="50" spans="1:8" ht="15.75" thickBot="1" x14ac:dyDescent="0.3">
      <c r="A50" s="64" t="s">
        <v>26</v>
      </c>
      <c r="B50" s="65"/>
      <c r="C50" s="66"/>
      <c r="E50" s="22" t="s">
        <v>33</v>
      </c>
      <c r="F50" s="24" t="s">
        <v>44</v>
      </c>
      <c r="G50" s="24" t="s">
        <v>56</v>
      </c>
      <c r="H50" s="24" t="s">
        <v>66</v>
      </c>
    </row>
    <row r="51" spans="1:8" ht="15.75" thickBot="1" x14ac:dyDescent="0.3">
      <c r="A51" s="64" t="s">
        <v>27</v>
      </c>
      <c r="B51" s="65"/>
      <c r="C51" s="66"/>
      <c r="E51" s="22" t="s">
        <v>34</v>
      </c>
      <c r="F51" s="24" t="s">
        <v>47</v>
      </c>
      <c r="G51" s="24" t="s">
        <v>57</v>
      </c>
      <c r="H51" s="24" t="s">
        <v>67</v>
      </c>
    </row>
    <row r="52" spans="1:8" ht="15.75" thickBot="1" x14ac:dyDescent="0.3">
      <c r="A52" s="64" t="s">
        <v>28</v>
      </c>
      <c r="B52" s="65"/>
      <c r="C52" s="66"/>
      <c r="E52" s="22" t="s">
        <v>35</v>
      </c>
      <c r="F52" s="24" t="s">
        <v>48</v>
      </c>
      <c r="G52" s="24" t="s">
        <v>58</v>
      </c>
      <c r="H52" s="24" t="s">
        <v>68</v>
      </c>
    </row>
    <row r="53" spans="1:8" ht="15.75" thickBot="1" x14ac:dyDescent="0.3">
      <c r="A53" s="64" t="s">
        <v>24</v>
      </c>
      <c r="B53" s="65"/>
      <c r="C53" s="66"/>
      <c r="E53" s="22" t="s">
        <v>36</v>
      </c>
      <c r="F53" s="24" t="s">
        <v>49</v>
      </c>
      <c r="G53" s="24" t="s">
        <v>59</v>
      </c>
      <c r="H53" s="24" t="s">
        <v>69</v>
      </c>
    </row>
    <row r="54" spans="1:8" ht="15.75" thickBot="1" x14ac:dyDescent="0.3">
      <c r="A54" s="64" t="s">
        <v>25</v>
      </c>
      <c r="B54" s="65"/>
      <c r="C54" s="66"/>
      <c r="E54" s="22" t="s">
        <v>37</v>
      </c>
      <c r="F54" s="24" t="s">
        <v>50</v>
      </c>
      <c r="G54" s="24" t="s">
        <v>60</v>
      </c>
      <c r="H54" s="24" t="s">
        <v>70</v>
      </c>
    </row>
    <row r="55" spans="1:8" ht="15.75" thickBot="1" x14ac:dyDescent="0.3">
      <c r="A55" s="64" t="s">
        <v>26</v>
      </c>
      <c r="B55" s="65"/>
      <c r="C55" s="66"/>
      <c r="E55" s="22" t="s">
        <v>38</v>
      </c>
      <c r="F55" s="24" t="s">
        <v>51</v>
      </c>
      <c r="G55" s="24" t="s">
        <v>61</v>
      </c>
      <c r="H55" s="24" t="s">
        <v>71</v>
      </c>
    </row>
    <row r="56" spans="1:8" ht="15.75" thickBot="1" x14ac:dyDescent="0.3">
      <c r="A56" s="64" t="s">
        <v>27</v>
      </c>
      <c r="B56" s="65"/>
      <c r="C56" s="66"/>
      <c r="E56" s="22" t="s">
        <v>39</v>
      </c>
      <c r="F56" s="24" t="s">
        <v>52</v>
      </c>
      <c r="G56" s="24" t="s">
        <v>62</v>
      </c>
      <c r="H56" s="24" t="s">
        <v>72</v>
      </c>
    </row>
    <row r="57" spans="1:8" ht="15.75" thickBot="1" x14ac:dyDescent="0.3">
      <c r="A57" s="64" t="s">
        <v>28</v>
      </c>
      <c r="B57" s="65"/>
      <c r="C57" s="66"/>
      <c r="E57" s="23" t="s">
        <v>40</v>
      </c>
      <c r="F57" s="24" t="s">
        <v>53</v>
      </c>
      <c r="G57" s="24" t="s">
        <v>63</v>
      </c>
      <c r="H57" s="24" t="s">
        <v>73</v>
      </c>
    </row>
    <row r="58" spans="1:8" x14ac:dyDescent="0.25">
      <c r="A58" s="64" t="s">
        <v>7</v>
      </c>
      <c r="B58" s="65"/>
      <c r="C58" s="66"/>
    </row>
    <row r="59" spans="1:8" x14ac:dyDescent="0.25">
      <c r="A59" s="64" t="s">
        <v>8</v>
      </c>
      <c r="B59" s="65"/>
      <c r="C59" s="66"/>
    </row>
    <row r="60" spans="1:8" x14ac:dyDescent="0.25">
      <c r="A60" s="64" t="s">
        <v>9</v>
      </c>
      <c r="B60" s="65"/>
      <c r="C60" s="66"/>
    </row>
    <row r="61" spans="1:8" ht="15.75" thickBot="1" x14ac:dyDescent="0.3">
      <c r="A61" s="64" t="s">
        <v>10</v>
      </c>
      <c r="B61" s="65"/>
      <c r="C61" s="66"/>
    </row>
    <row r="62" spans="1:8" ht="15.75" thickBot="1" x14ac:dyDescent="0.3">
      <c r="A62" s="64" t="s">
        <v>11</v>
      </c>
      <c r="B62" s="65"/>
      <c r="C62" s="66"/>
      <c r="E62" s="50" t="s">
        <v>74</v>
      </c>
      <c r="F62" s="51"/>
    </row>
    <row r="63" spans="1:8" x14ac:dyDescent="0.25">
      <c r="A63" s="64" t="s">
        <v>2</v>
      </c>
      <c r="B63" s="65"/>
      <c r="C63" s="66"/>
      <c r="E63" s="22" t="s">
        <v>75</v>
      </c>
      <c r="F63" s="39"/>
    </row>
    <row r="64" spans="1:8" x14ac:dyDescent="0.25">
      <c r="A64" s="64" t="s">
        <v>3</v>
      </c>
      <c r="B64" s="65"/>
      <c r="C64" s="66"/>
      <c r="E64" s="22" t="s">
        <v>76</v>
      </c>
      <c r="F64" s="18"/>
    </row>
    <row r="65" spans="1:6" x14ac:dyDescent="0.25">
      <c r="A65" s="64" t="s">
        <v>4</v>
      </c>
      <c r="B65" s="65"/>
      <c r="C65" s="66"/>
      <c r="E65" s="22" t="s">
        <v>77</v>
      </c>
      <c r="F65" s="18"/>
    </row>
    <row r="66" spans="1:6" x14ac:dyDescent="0.25">
      <c r="A66" s="64" t="s">
        <v>5</v>
      </c>
      <c r="B66" s="65"/>
      <c r="C66" s="66"/>
      <c r="E66" s="22" t="s">
        <v>78</v>
      </c>
      <c r="F66" s="18"/>
    </row>
    <row r="67" spans="1:6" x14ac:dyDescent="0.25">
      <c r="A67" s="64" t="s">
        <v>6</v>
      </c>
      <c r="B67" s="65"/>
      <c r="C67" s="66"/>
      <c r="E67" s="22" t="s">
        <v>79</v>
      </c>
      <c r="F67" s="35"/>
    </row>
    <row r="68" spans="1:6" x14ac:dyDescent="0.25">
      <c r="A68" s="61" t="str">
        <f>""</f>
        <v/>
      </c>
      <c r="B68" s="62"/>
      <c r="C68" s="63"/>
      <c r="E68" s="22" t="s">
        <v>80</v>
      </c>
      <c r="F68" s="18"/>
    </row>
    <row r="69" spans="1:6" x14ac:dyDescent="0.25">
      <c r="A69" s="61" t="str">
        <f>""</f>
        <v/>
      </c>
      <c r="B69" s="62"/>
      <c r="C69" s="63"/>
      <c r="E69" s="22" t="s">
        <v>81</v>
      </c>
      <c r="F69" s="18"/>
    </row>
    <row r="70" spans="1:6" x14ac:dyDescent="0.25">
      <c r="A70" s="61" t="str">
        <f>""</f>
        <v/>
      </c>
      <c r="B70" s="62"/>
      <c r="C70" s="63"/>
      <c r="E70" s="22" t="s">
        <v>82</v>
      </c>
      <c r="F70" s="18"/>
    </row>
    <row r="71" spans="1:6" x14ac:dyDescent="0.25">
      <c r="A71" s="61" t="str">
        <f>""</f>
        <v/>
      </c>
      <c r="B71" s="62"/>
      <c r="C71" s="63"/>
      <c r="E71" s="22" t="s">
        <v>83</v>
      </c>
      <c r="F71" s="18"/>
    </row>
    <row r="72" spans="1:6" x14ac:dyDescent="0.25">
      <c r="A72" s="61" t="str">
        <f>""</f>
        <v/>
      </c>
      <c r="B72" s="62"/>
      <c r="C72" s="63"/>
      <c r="E72" s="22" t="s">
        <v>84</v>
      </c>
      <c r="F72" s="18"/>
    </row>
    <row r="73" spans="1:6" ht="15.75" thickBot="1" x14ac:dyDescent="0.3">
      <c r="E73" s="23" t="s">
        <v>85</v>
      </c>
      <c r="F73" s="38"/>
    </row>
    <row r="74" spans="1:6" x14ac:dyDescent="0.25">
      <c r="F74" s="40"/>
    </row>
  </sheetData>
  <mergeCells count="60">
    <mergeCell ref="E62:F62"/>
    <mergeCell ref="A63:C63"/>
    <mergeCell ref="A71:C71"/>
    <mergeCell ref="A72:C72"/>
    <mergeCell ref="A65:C65"/>
    <mergeCell ref="A66:C66"/>
    <mergeCell ref="A67:C67"/>
    <mergeCell ref="A68:C68"/>
    <mergeCell ref="A69:C69"/>
    <mergeCell ref="A70:C70"/>
    <mergeCell ref="A64:C64"/>
    <mergeCell ref="A54:C54"/>
    <mergeCell ref="A55:C55"/>
    <mergeCell ref="A56:C56"/>
    <mergeCell ref="A57:C57"/>
    <mergeCell ref="A58:C58"/>
    <mergeCell ref="A59:C59"/>
    <mergeCell ref="A60:C60"/>
    <mergeCell ref="A61:C61"/>
    <mergeCell ref="A62:C62"/>
    <mergeCell ref="A53:C53"/>
    <mergeCell ref="A43:C43"/>
    <mergeCell ref="A44:C44"/>
    <mergeCell ref="A45:C45"/>
    <mergeCell ref="A46:C46"/>
    <mergeCell ref="A48:C48"/>
    <mergeCell ref="A49:C49"/>
    <mergeCell ref="A50:C50"/>
    <mergeCell ref="A51:C51"/>
    <mergeCell ref="A52:C52"/>
    <mergeCell ref="E46:H46"/>
    <mergeCell ref="A47:C47"/>
    <mergeCell ref="A37:C37"/>
    <mergeCell ref="A38:C38"/>
    <mergeCell ref="A39:C39"/>
    <mergeCell ref="A40:C40"/>
    <mergeCell ref="A41:C41"/>
    <mergeCell ref="A42:C42"/>
    <mergeCell ref="W15:W24"/>
    <mergeCell ref="AA15:AA24"/>
    <mergeCell ref="AE15:AE24"/>
    <mergeCell ref="AI15:AI24"/>
    <mergeCell ref="AM15:AM24"/>
    <mergeCell ref="AQ15:AQ24"/>
    <mergeCell ref="Y14:AA14"/>
    <mergeCell ref="AC14:AE14"/>
    <mergeCell ref="AG14:AI14"/>
    <mergeCell ref="AK14:AM14"/>
    <mergeCell ref="AO14:AQ14"/>
    <mergeCell ref="C15:C24"/>
    <mergeCell ref="G15:G24"/>
    <mergeCell ref="K15:K24"/>
    <mergeCell ref="O15:O24"/>
    <mergeCell ref="S15:S24"/>
    <mergeCell ref="U14:W14"/>
    <mergeCell ref="A14:C14"/>
    <mergeCell ref="E14:G14"/>
    <mergeCell ref="I14:K14"/>
    <mergeCell ref="M14:O14"/>
    <mergeCell ref="Q14:S1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imparCampos3">
                <anchor moveWithCells="1" sizeWithCells="1">
                  <from>
                    <xdr:col>0</xdr:col>
                    <xdr:colOff>0</xdr:colOff>
                    <xdr:row>78</xdr:row>
                    <xdr:rowOff>171450</xdr:rowOff>
                  </from>
                  <to>
                    <xdr:col>4</xdr:col>
                    <xdr:colOff>9525</xdr:colOff>
                    <xdr:row>85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iarGraficoComFormatacao">
                <anchor moveWithCells="1">
                  <from>
                    <xdr:col>11</xdr:col>
                    <xdr:colOff>523875</xdr:colOff>
                    <xdr:row>26</xdr:row>
                    <xdr:rowOff>123825</xdr:rowOff>
                  </from>
                  <to>
                    <xdr:col>15</xdr:col>
                    <xdr:colOff>495300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Q1 - 20</vt:lpstr>
      <vt:lpstr>Q11 - 20</vt:lpstr>
      <vt:lpstr>Q21 - 25</vt:lpstr>
      <vt:lpstr>Q16 - 25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2025-12-18T13:55:12Z</dcterms:modified>
</cp:coreProperties>
</file>